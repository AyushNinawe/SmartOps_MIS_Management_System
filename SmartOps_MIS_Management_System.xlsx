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 Dashboard" sheetId="1" state="visible" r:id="rId2"/>
    <sheet name="FMS Dashboard" sheetId="2" state="visible" r:id="rId3"/>
    <sheet name="Checklist Dashboard" sheetId="3" state="visible" r:id="rId4"/>
    <sheet name="Order Tracking" sheetId="4" state="visible" r:id="rId5"/>
    <sheet name="Inventory Management" sheetId="5" state="visible" r:id="rId6"/>
    <sheet name="Employee Master" sheetId="6" state="visible" r:id="rId7"/>
    <sheet name="Daily MIS Report" sheetId="7" state="visible" r:id="rId8"/>
    <sheet name="Weekly MIS Report" sheetId="8" state="visible" r:id="rId9"/>
    <sheet name="Monthly MIS Report" sheetId="9" state="visible" r:id="rId10"/>
    <sheet name="Raw Data" sheetId="10" state="visible" r:id="rId11"/>
    <sheet name="Lists &amp; Setting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<sst xmlns="http://schemas.openxmlformats.org/spreadsheetml/2006/main" count="1272" uniqueCount="451">
  <si>
    <t xml:space="preserve">SmartOps | MIS Management System — Master Dashboard</t>
  </si>
  <si>
    <t xml:space="preserve">Executive overview • Formula-driven KPIs, operational breakdown tables, and performance charts</t>
  </si>
  <si>
    <t xml:space="preserve">Total Orders</t>
  </si>
  <si>
    <t xml:space="preserve">Delivered Orders</t>
  </si>
  <si>
    <t xml:space="preserve">Pending / Processing Orders</t>
  </si>
  <si>
    <t xml:space="preserve">Total Order Value</t>
  </si>
  <si>
    <t xml:space="preserve">Inventory Value</t>
  </si>
  <si>
    <t xml:space="preserve">Low-Stock Products</t>
  </si>
  <si>
    <t xml:space="preserve">Completed Field Activities</t>
  </si>
  <si>
    <t xml:space="preserve">Overdue Checklist Tasks</t>
  </si>
  <si>
    <t xml:space="preserve">Order Status</t>
  </si>
  <si>
    <t xml:space="preserve">Count</t>
  </si>
  <si>
    <t xml:space="preserve">Inventory Status</t>
  </si>
  <si>
    <t xml:space="preserve">Products</t>
  </si>
  <si>
    <t xml:space="preserve">Employee</t>
  </si>
  <si>
    <t xml:space="preserve">Completed Activities</t>
  </si>
  <si>
    <t xml:space="preserve">Task Compliance</t>
  </si>
  <si>
    <t xml:space="preserve">Delivered</t>
  </si>
  <si>
    <t xml:space="preserve">OK</t>
  </si>
  <si>
    <t xml:space="preserve">Aarav Sharma</t>
  </si>
  <si>
    <t xml:space="preserve">On Time</t>
  </si>
  <si>
    <t xml:space="preserve">Pending</t>
  </si>
  <si>
    <t xml:space="preserve">REORDER</t>
  </si>
  <si>
    <t xml:space="preserve">Diya Verma</t>
  </si>
  <si>
    <t xml:space="preserve">Delayed</t>
  </si>
  <si>
    <t xml:space="preserve">Processing</t>
  </si>
  <si>
    <t xml:space="preserve">Total</t>
  </si>
  <si>
    <t xml:space="preserve">Kabir Patel</t>
  </si>
  <si>
    <t xml:space="preserve">Overdue</t>
  </si>
  <si>
    <t xml:space="preserve">Cancelled</t>
  </si>
  <si>
    <t xml:space="preserve">Meera Singh</t>
  </si>
  <si>
    <t xml:space="preserve">Returned</t>
  </si>
  <si>
    <t xml:space="preserve">Ishaan Gupta</t>
  </si>
  <si>
    <t xml:space="preserve">Ananya Rao</t>
  </si>
  <si>
    <t xml:space="preserve">Rohan Das</t>
  </si>
  <si>
    <t xml:space="preserve">Sana Khan</t>
  </si>
  <si>
    <t xml:space="preserve">Vivaan Joshi</t>
  </si>
  <si>
    <t xml:space="preserve">Ira Nair</t>
  </si>
  <si>
    <t xml:space="preserve">FMS Dashboard — Field Activity &amp; Turnaround Time (TAT) Monitor</t>
  </si>
  <si>
    <t xml:space="preserve">Full date-time TAT subtraction (accurately handling cross-midnight activities), SLA tracking, and employee productivity</t>
  </si>
  <si>
    <t xml:space="preserve">Pending Activities</t>
  </si>
  <si>
    <t xml:space="preserve">In-Progress Activities</t>
  </si>
  <si>
    <t xml:space="preserve">Average TAT (Hours)</t>
  </si>
  <si>
    <t xml:space="preserve">Delayed Completed (&gt;4h)</t>
  </si>
  <si>
    <t xml:space="preserve">Completed</t>
  </si>
  <si>
    <t xml:space="preserve">Avg TAT (hrs)</t>
  </si>
  <si>
    <t xml:space="preserve">Within SLA (&lt;=4h)</t>
  </si>
  <si>
    <t xml:space="preserve">Total / Overall Avg</t>
  </si>
  <si>
    <t xml:space="preserve">Cross-Midnight &amp; Recent Field Activity TAT Verification Log (Live Linked to FMSTable)</t>
  </si>
  <si>
    <t xml:space="preserve">Activity ID</t>
  </si>
  <si>
    <t xml:space="preserve">Activity Date</t>
  </si>
  <si>
    <t xml:space="preserve">Employee ID</t>
  </si>
  <si>
    <t xml:space="preserve">Employee Name</t>
  </si>
  <si>
    <t xml:space="preserve">Activity Type</t>
  </si>
  <si>
    <t xml:space="preserve">Assignment Date/Time</t>
  </si>
  <si>
    <t xml:space="preserve">Completion Date/Time</t>
  </si>
  <si>
    <t xml:space="preserve">Status</t>
  </si>
  <si>
    <t xml:space="preserve">TAT (Hours)</t>
  </si>
  <si>
    <t xml:space="preserve">SLA Result</t>
  </si>
  <si>
    <t xml:space="preserve">Checklist Dashboard — Task Execution &amp; On-Time Compliance</t>
  </si>
  <si>
    <t xml:space="preserve">Monitoring completed, pending, overdue, and delayed tasks with employee-level SLA compliance breakdown</t>
  </si>
  <si>
    <t xml:space="preserve">Completed Tasks</t>
  </si>
  <si>
    <t xml:space="preserve">Pending Tasks</t>
  </si>
  <si>
    <t xml:space="preserve">Overdue Tasks</t>
  </si>
  <si>
    <t xml:space="preserve">Delayed Tasks</t>
  </si>
  <si>
    <t xml:space="preserve">Task Completion Rate</t>
  </si>
  <si>
    <t xml:space="preserve">On-Time Compliance</t>
  </si>
  <si>
    <t xml:space="preserve">Compliance Status Summary</t>
  </si>
  <si>
    <t xml:space="preserve">Compliance Status</t>
  </si>
  <si>
    <t xml:space="preserve">Task Count</t>
  </si>
  <si>
    <t xml:space="preserve">Share (%)</t>
  </si>
  <si>
    <t xml:space="preserve">Employee Checklist Compliance Breakdown</t>
  </si>
  <si>
    <t xml:space="preserve">Total Assigned</t>
  </si>
  <si>
    <t xml:space="preserve">On-Time Rate</t>
  </si>
  <si>
    <t xml:space="preserve">Total / Overall</t>
  </si>
  <si>
    <t xml:space="preserve">Order Tracking</t>
  </si>
  <si>
    <t xml:space="preserve">Order lifecycle register with XLOOKUP employee details, status dropdowns, overdue flags, and quality checks</t>
  </si>
  <si>
    <t xml:space="preserve">Order ID</t>
  </si>
  <si>
    <t xml:space="preserve">Order Date</t>
  </si>
  <si>
    <t xml:space="preserve">Customer</t>
  </si>
  <si>
    <t xml:space="preserve">Product ID</t>
  </si>
  <si>
    <t xml:space="preserve">Product</t>
  </si>
  <si>
    <t xml:space="preserve">Quantity</t>
  </si>
  <si>
    <t xml:space="preserve">Unit Price (₹)</t>
  </si>
  <si>
    <t xml:space="preserve">Order Value (₹)</t>
  </si>
  <si>
    <t xml:space="preserve">Employee Name (XLOOKUP)</t>
  </si>
  <si>
    <t xml:space="preserve">Expected Delivery</t>
  </si>
  <si>
    <t xml:space="preserve">Actual Delivery</t>
  </si>
  <si>
    <t xml:space="preserve">Overdue Status</t>
  </si>
  <si>
    <t xml:space="preserve">Order Audit &amp; Summary</t>
  </si>
  <si>
    <t xml:space="preserve">Status / Count</t>
  </si>
  <si>
    <t xml:space="preserve">ORD0001</t>
  </si>
  <si>
    <t xml:space="preserve">Northstar Services</t>
  </si>
  <si>
    <t xml:space="preserve">P001</t>
  </si>
  <si>
    <t xml:space="preserve">Wireless Mouse</t>
  </si>
  <si>
    <t xml:space="preserve">E001</t>
  </si>
  <si>
    <t xml:space="preserve">Duplicate Order IDs</t>
  </si>
  <si>
    <t xml:space="preserve">ORD0002</t>
  </si>
  <si>
    <t xml:space="preserve">BluePeak Retail</t>
  </si>
  <si>
    <t xml:space="preserve">P002</t>
  </si>
  <si>
    <t xml:space="preserve">Keyboard</t>
  </si>
  <si>
    <t xml:space="preserve">E002</t>
  </si>
  <si>
    <t xml:space="preserve">Missing Customer/Product</t>
  </si>
  <si>
    <t xml:space="preserve">ORD0003</t>
  </si>
  <si>
    <t xml:space="preserve">Cedar &amp; Co.</t>
  </si>
  <si>
    <t xml:space="preserve">P003</t>
  </si>
  <si>
    <t xml:space="preserve">USB-C Hub</t>
  </si>
  <si>
    <t xml:space="preserve">E003</t>
  </si>
  <si>
    <t xml:space="preserve">ORD0004</t>
  </si>
  <si>
    <t xml:space="preserve">Summit Logistics</t>
  </si>
  <si>
    <t xml:space="preserve">P004</t>
  </si>
  <si>
    <t xml:space="preserve">Laptop Stand</t>
  </si>
  <si>
    <t xml:space="preserve">E004</t>
  </si>
  <si>
    <t xml:space="preserve">ORD0005</t>
  </si>
  <si>
    <t xml:space="preserve">Orbit Systems</t>
  </si>
  <si>
    <t xml:space="preserve">P005</t>
  </si>
  <si>
    <t xml:space="preserve">Webcam HD</t>
  </si>
  <si>
    <t xml:space="preserve">E005</t>
  </si>
  <si>
    <t xml:space="preserve">Open (Pending/Proc.)</t>
  </si>
  <si>
    <t xml:space="preserve">ORD0006</t>
  </si>
  <si>
    <t xml:space="preserve">MapleWorks</t>
  </si>
  <si>
    <t xml:space="preserve">P006</t>
  </si>
  <si>
    <t xml:space="preserve">Headset</t>
  </si>
  <si>
    <t xml:space="preserve">E006</t>
  </si>
  <si>
    <t xml:space="preserve">Overdue Open Orders</t>
  </si>
  <si>
    <t xml:space="preserve">ORD0007</t>
  </si>
  <si>
    <t xml:space="preserve">BrightPath Consulting</t>
  </si>
  <si>
    <t xml:space="preserve">P007</t>
  </si>
  <si>
    <t xml:space="preserve">Power Adapter</t>
  </si>
  <si>
    <t xml:space="preserve">E007</t>
  </si>
  <si>
    <t xml:space="preserve">Returned / Cancelled</t>
  </si>
  <si>
    <t xml:space="preserve">ORD0008</t>
  </si>
  <si>
    <t xml:space="preserve">UrbanCart</t>
  </si>
  <si>
    <t xml:space="preserve">P008</t>
  </si>
  <si>
    <t xml:space="preserve">Notebook Pack</t>
  </si>
  <si>
    <t xml:space="preserve">E008</t>
  </si>
  <si>
    <t xml:space="preserve">ORD0009</t>
  </si>
  <si>
    <t xml:space="preserve">Silverline Traders</t>
  </si>
  <si>
    <t xml:space="preserve">P009</t>
  </si>
  <si>
    <t xml:space="preserve">Ethernet Cable</t>
  </si>
  <si>
    <t xml:space="preserve">E009</t>
  </si>
  <si>
    <t xml:space="preserve">ORD0010</t>
  </si>
  <si>
    <t xml:space="preserve">Nova Office Solutions</t>
  </si>
  <si>
    <t xml:space="preserve">P010</t>
  </si>
  <si>
    <t xml:space="preserve">Portable SSD</t>
  </si>
  <si>
    <t xml:space="preserve">E010</t>
  </si>
  <si>
    <t xml:space="preserve">ORD0011</t>
  </si>
  <si>
    <t xml:space="preserve">Greenfield Labs</t>
  </si>
  <si>
    <t xml:space="preserve">ORD0012</t>
  </si>
  <si>
    <t xml:space="preserve">Pioneer Supplies</t>
  </si>
  <si>
    <t xml:space="preserve">ORD0013</t>
  </si>
  <si>
    <t xml:space="preserve">ORD0014</t>
  </si>
  <si>
    <t xml:space="preserve">ORD0015</t>
  </si>
  <si>
    <t xml:space="preserve">ORD0016</t>
  </si>
  <si>
    <t xml:space="preserve">ORD0017</t>
  </si>
  <si>
    <t xml:space="preserve">ORD0018</t>
  </si>
  <si>
    <t xml:space="preserve">ORD0019</t>
  </si>
  <si>
    <t xml:space="preserve">ORD0020</t>
  </si>
  <si>
    <t xml:space="preserve">ORD0021</t>
  </si>
  <si>
    <t xml:space="preserve">ORD0022</t>
  </si>
  <si>
    <t xml:space="preserve">ORD0023</t>
  </si>
  <si>
    <t xml:space="preserve">ORD0024</t>
  </si>
  <si>
    <t xml:space="preserve">ORD0025</t>
  </si>
  <si>
    <t xml:space="preserve">ORD0026</t>
  </si>
  <si>
    <t xml:space="preserve">ORD0027</t>
  </si>
  <si>
    <t xml:space="preserve">ORD0028</t>
  </si>
  <si>
    <t xml:space="preserve">ORD0029</t>
  </si>
  <si>
    <t xml:space="preserve">ORD0030</t>
  </si>
  <si>
    <t xml:space="preserve">ORD0031</t>
  </si>
  <si>
    <t xml:space="preserve">ORD0032</t>
  </si>
  <si>
    <t xml:space="preserve">ORD0033</t>
  </si>
  <si>
    <t xml:space="preserve">ORD0034</t>
  </si>
  <si>
    <t xml:space="preserve">ORD0035</t>
  </si>
  <si>
    <t xml:space="preserve">ORD0036</t>
  </si>
  <si>
    <t xml:space="preserve">ORD0037</t>
  </si>
  <si>
    <t xml:space="preserve">ORD0038</t>
  </si>
  <si>
    <t xml:space="preserve">ORD0039</t>
  </si>
  <si>
    <t xml:space="preserve">ORD0040</t>
  </si>
  <si>
    <t xml:space="preserve">ORD0041</t>
  </si>
  <si>
    <t xml:space="preserve">ORD0042</t>
  </si>
  <si>
    <t xml:space="preserve">ORD0043</t>
  </si>
  <si>
    <t xml:space="preserve">ORD0044</t>
  </si>
  <si>
    <t xml:space="preserve">ORD0045</t>
  </si>
  <si>
    <t xml:space="preserve">ORD0046</t>
  </si>
  <si>
    <t xml:space="preserve">ORD0047</t>
  </si>
  <si>
    <t xml:space="preserve">ORD0048</t>
  </si>
  <si>
    <t xml:space="preserve">ORD0049</t>
  </si>
  <si>
    <t xml:space="preserve">ORD0050</t>
  </si>
  <si>
    <t xml:space="preserve">ORD0051</t>
  </si>
  <si>
    <t xml:space="preserve">ORD0052</t>
  </si>
  <si>
    <t xml:space="preserve">ORD0053</t>
  </si>
  <si>
    <t xml:space="preserve">ORD0054</t>
  </si>
  <si>
    <t xml:space="preserve">ORD0055</t>
  </si>
  <si>
    <t xml:space="preserve">ORD0056</t>
  </si>
  <si>
    <t xml:space="preserve">ORD0057</t>
  </si>
  <si>
    <t xml:space="preserve">ORD0058</t>
  </si>
  <si>
    <t xml:space="preserve">ORD0059</t>
  </si>
  <si>
    <t xml:space="preserve">ORD0060</t>
  </si>
  <si>
    <t xml:space="preserve">Inventory Management</t>
  </si>
  <si>
    <t xml:space="preserve">Automated stock balances, Indian Rupee (₹) valuation, reorder threshold alerts, and stock level visualization</t>
  </si>
  <si>
    <t xml:space="preserve">Product Name</t>
  </si>
  <si>
    <t xml:space="preserve">Category</t>
  </si>
  <si>
    <t xml:space="preserve">Opening Stock</t>
  </si>
  <si>
    <t xml:space="preserve">Stock Received</t>
  </si>
  <si>
    <t xml:space="preserve">Stock Issued</t>
  </si>
  <si>
    <t xml:space="preserve">Current Stock</t>
  </si>
  <si>
    <t xml:space="preserve">Reorder Level</t>
  </si>
  <si>
    <t xml:space="preserve">Unit Cost (₹)</t>
  </si>
  <si>
    <t xml:space="preserve">Inventory Value (₹)</t>
  </si>
  <si>
    <t xml:space="preserve">Reorder Alert</t>
  </si>
  <si>
    <t xml:space="preserve">Data Quality &amp; Summary</t>
  </si>
  <si>
    <t xml:space="preserve">Status / Value</t>
  </si>
  <si>
    <t xml:space="preserve">Accessories</t>
  </si>
  <si>
    <t xml:space="preserve">Duplicate Product IDs</t>
  </si>
  <si>
    <t xml:space="preserve">Missing Product Names</t>
  </si>
  <si>
    <t xml:space="preserve">Negative Stock Check</t>
  </si>
  <si>
    <t xml:space="preserve">Office Supplies</t>
  </si>
  <si>
    <t xml:space="preserve">Total SKUs Tracked</t>
  </si>
  <si>
    <t xml:space="preserve">Electronics</t>
  </si>
  <si>
    <t xml:space="preserve">Total Current Units</t>
  </si>
  <si>
    <t xml:space="preserve">Items Below Reorder</t>
  </si>
  <si>
    <t xml:space="preserve">Total Inventory Value</t>
  </si>
  <si>
    <t xml:space="preserve">Networking</t>
  </si>
  <si>
    <t xml:space="preserve">Storage</t>
  </si>
  <si>
    <t xml:space="preserve">Employee Master</t>
  </si>
  <si>
    <t xml:space="preserve">Employee directory, dynamic tenure calculation, VLOOKUP/XLOOKUP demonstrations, and ID integrity checks</t>
  </si>
  <si>
    <t xml:space="preserve">Department</t>
  </si>
  <si>
    <t xml:space="preserve">Designation</t>
  </si>
  <si>
    <t xml:space="preserve">Joining Date</t>
  </si>
  <si>
    <t xml:space="preserve">Tenure (Years)</t>
  </si>
  <si>
    <t xml:space="preserve">Employee Status</t>
  </si>
  <si>
    <t xml:space="preserve">Lookup Demonstration (VLOOKUP &amp; XLOOKUP)</t>
  </si>
  <si>
    <t xml:space="preserve">Operations</t>
  </si>
  <si>
    <t xml:space="preserve">MIS Executive</t>
  </si>
  <si>
    <t xml:space="preserve">Active</t>
  </si>
  <si>
    <t xml:space="preserve">Lookup Employee ID (Input)</t>
  </si>
  <si>
    <t xml:space="preserve">Field Operations</t>
  </si>
  <si>
    <t xml:space="preserve">Field Coordinator</t>
  </si>
  <si>
    <t xml:space="preserve">VLOOKUP Employee Name</t>
  </si>
  <si>
    <t xml:space="preserve">Warehouse</t>
  </si>
  <si>
    <t xml:space="preserve">Inventory Analyst</t>
  </si>
  <si>
    <t xml:space="preserve">XLOOKUP Department</t>
  </si>
  <si>
    <t xml:space="preserve">Customer Service</t>
  </si>
  <si>
    <t xml:space="preserve">Operations Executive</t>
  </si>
  <si>
    <t xml:space="preserve">XLOOKUP Designation</t>
  </si>
  <si>
    <t xml:space="preserve">Field Executive</t>
  </si>
  <si>
    <t xml:space="preserve">MIS Analyst</t>
  </si>
  <si>
    <t xml:space="preserve">Employee Data Quality Audit</t>
  </si>
  <si>
    <t xml:space="preserve">Store Executive</t>
  </si>
  <si>
    <t xml:space="preserve">Duplicate ID Check</t>
  </si>
  <si>
    <t xml:space="preserve">Order Coordinator</t>
  </si>
  <si>
    <t xml:space="preserve">Missing Name Check</t>
  </si>
  <si>
    <t xml:space="preserve">Team Lead</t>
  </si>
  <si>
    <t xml:space="preserve">Daily MIS Report — Operational Snapshot</t>
  </si>
  <si>
    <t xml:space="preserve">Daily operational metrics • Set Period Start and Period End to the same day for a single-day view</t>
  </si>
  <si>
    <t xml:space="preserve">Period Start</t>
  </si>
  <si>
    <t xml:space="preserve">Edit yellow Period Start (B4) and Period End (B5) cells to recalculate all report metrics and charts for any custom reporting window.</t>
  </si>
  <si>
    <t xml:space="preserve">Period End</t>
  </si>
  <si>
    <t xml:space="preserve">Inventory Exceptions Watchlist (Products Below Reorder Level)</t>
  </si>
  <si>
    <t xml:space="preserve">Operational Metric</t>
  </si>
  <si>
    <t xml:space="preserve">Period Result</t>
  </si>
  <si>
    <t xml:space="preserve">Domain</t>
  </si>
  <si>
    <t xml:space="preserve">Alert Status</t>
  </si>
  <si>
    <t xml:space="preserve">Orders created</t>
  </si>
  <si>
    <t xml:space="preserve">Orders</t>
  </si>
  <si>
    <t xml:space="preserve">Delivered orders</t>
  </si>
  <si>
    <t xml:space="preserve">Field activities assigned</t>
  </si>
  <si>
    <t xml:space="preserve">Field Ops</t>
  </si>
  <si>
    <t xml:space="preserve">Field activities completed</t>
  </si>
  <si>
    <t xml:space="preserve">Checklist tasks due</t>
  </si>
  <si>
    <t xml:space="preserve">Checklist</t>
  </si>
  <si>
    <t xml:space="preserve">On-time checklist completions</t>
  </si>
  <si>
    <t xml:space="preserve">Low-stock products (Reorder)</t>
  </si>
  <si>
    <t xml:space="preserve">Inventory</t>
  </si>
  <si>
    <t xml:space="preserve">Order value (₹)</t>
  </si>
  <si>
    <t xml:space="preserve">Revenue</t>
  </si>
  <si>
    <t xml:space="preserve">Current inventory value (₹)</t>
  </si>
  <si>
    <t xml:space="preserve">Weekly MIS Report — Monday to Sunday Operational Summary</t>
  </si>
  <si>
    <t xml:space="preserve">Weekly operational metrics • Defaults to Monday–Sunday of the current week; edit yellow cells for historical weeks</t>
  </si>
  <si>
    <t xml:space="preserve">Monthly MIS Report — Full Calendar Month Performance</t>
  </si>
  <si>
    <t xml:space="preserve">Monthly operational metrics • Defaults to the current calendar month; edit yellow cells for historical months</t>
  </si>
  <si>
    <t xml:space="preserve">Raw Data — Operational Registers</t>
  </si>
  <si>
    <t xml:space="preserve">Left: FMS Field Activities (FMSTable) • Center: Checklist Compliance Register (ChecklistTable) • Right: Data Quality Audit</t>
  </si>
  <si>
    <t xml:space="preserve">FMS / Field Activities Register (FMSTable)</t>
  </si>
  <si>
    <t xml:space="preserve">Checklist Tasks Register (ChecklistTable)</t>
  </si>
  <si>
    <t xml:space="preserve">Data Quality Audit</t>
  </si>
  <si>
    <t xml:space="preserve">Task ID</t>
  </si>
  <si>
    <t xml:space="preserve">Task Type</t>
  </si>
  <si>
    <t xml:space="preserve">Assigned Date</t>
  </si>
  <si>
    <t xml:space="preserve">Due Date</t>
  </si>
  <si>
    <t xml:space="preserve">Completion Date</t>
  </si>
  <si>
    <t xml:space="preserve">Task Status</t>
  </si>
  <si>
    <t xml:space="preserve">On-Time Flag</t>
  </si>
  <si>
    <t xml:space="preserve">Check Metric</t>
  </si>
  <si>
    <t xml:space="preserve">Validation Result</t>
  </si>
  <si>
    <t xml:space="preserve">FMS0001</t>
  </si>
  <si>
    <t xml:space="preserve">Site Visit</t>
  </si>
  <si>
    <t xml:space="preserve">TASK0001</t>
  </si>
  <si>
    <t xml:space="preserve">Opening Checklist</t>
  </si>
  <si>
    <t xml:space="preserve">Duplicate Activity IDs</t>
  </si>
  <si>
    <t xml:space="preserve">FMS0002</t>
  </si>
  <si>
    <t xml:space="preserve">Stock Audit</t>
  </si>
  <si>
    <t xml:space="preserve">TASK0002</t>
  </si>
  <si>
    <t xml:space="preserve">Safety Inspection</t>
  </si>
  <si>
    <t xml:space="preserve">Missing Activity IDs</t>
  </si>
  <si>
    <t xml:space="preserve">FMS0003</t>
  </si>
  <si>
    <t xml:space="preserve">Customer Follow-up</t>
  </si>
  <si>
    <t xml:space="preserve">TASK0003</t>
  </si>
  <si>
    <t xml:space="preserve">Stock Reconciliation</t>
  </si>
  <si>
    <t xml:space="preserve">Duplicate Task IDs</t>
  </si>
  <si>
    <t xml:space="preserve">FMS0004</t>
  </si>
  <si>
    <t xml:space="preserve">Delivery Verification</t>
  </si>
  <si>
    <t xml:space="preserve">TASK0004</t>
  </si>
  <si>
    <t xml:space="preserve">Customer Callback</t>
  </si>
  <si>
    <t xml:space="preserve">Missing Task IDs</t>
  </si>
  <si>
    <t xml:space="preserve">FMS0005</t>
  </si>
  <si>
    <t xml:space="preserve">Document Collection</t>
  </si>
  <si>
    <t xml:space="preserve">TASK0005</t>
  </si>
  <si>
    <t xml:space="preserve">Document Review</t>
  </si>
  <si>
    <t xml:space="preserve">Total FMS Records</t>
  </si>
  <si>
    <t xml:space="preserve">FMS0006</t>
  </si>
  <si>
    <t xml:space="preserve">Quality Check</t>
  </si>
  <si>
    <t xml:space="preserve">In Progress</t>
  </si>
  <si>
    <t xml:space="preserve">TASK0006</t>
  </si>
  <si>
    <t xml:space="preserve">End-of-Day Closure</t>
  </si>
  <si>
    <t xml:space="preserve">Total Checklist Tasks</t>
  </si>
  <si>
    <t xml:space="preserve">FMS0007</t>
  </si>
  <si>
    <t xml:space="preserve">TASK0007</t>
  </si>
  <si>
    <t xml:space="preserve">FMS0008</t>
  </si>
  <si>
    <t xml:space="preserve">TASK0008</t>
  </si>
  <si>
    <t xml:space="preserve">FMS0009</t>
  </si>
  <si>
    <t xml:space="preserve">TASK0009</t>
  </si>
  <si>
    <t xml:space="preserve">FMS0010</t>
  </si>
  <si>
    <t xml:space="preserve">TASK0010</t>
  </si>
  <si>
    <t xml:space="preserve">FMS0011</t>
  </si>
  <si>
    <t xml:space="preserve">TASK0011</t>
  </si>
  <si>
    <t xml:space="preserve">FMS0012</t>
  </si>
  <si>
    <t xml:space="preserve">TASK0012</t>
  </si>
  <si>
    <t xml:space="preserve">FMS0013</t>
  </si>
  <si>
    <t xml:space="preserve">TASK0013</t>
  </si>
  <si>
    <t xml:space="preserve">FMS0014</t>
  </si>
  <si>
    <t xml:space="preserve">TASK0014</t>
  </si>
  <si>
    <t xml:space="preserve">FMS0015</t>
  </si>
  <si>
    <t xml:space="preserve">TASK0015</t>
  </si>
  <si>
    <t xml:space="preserve">FMS0016</t>
  </si>
  <si>
    <t xml:space="preserve">TASK0016</t>
  </si>
  <si>
    <t xml:space="preserve">FMS0017</t>
  </si>
  <si>
    <t xml:space="preserve">TASK0017</t>
  </si>
  <si>
    <t xml:space="preserve">FMS0018</t>
  </si>
  <si>
    <t xml:space="preserve">TASK0018</t>
  </si>
  <si>
    <t xml:space="preserve">FMS0019</t>
  </si>
  <si>
    <t xml:space="preserve">TASK0019</t>
  </si>
  <si>
    <t xml:space="preserve">FMS0020</t>
  </si>
  <si>
    <t xml:space="preserve">TASK0020</t>
  </si>
  <si>
    <t xml:space="preserve">FMS0021</t>
  </si>
  <si>
    <t xml:space="preserve">TASK0021</t>
  </si>
  <si>
    <t xml:space="preserve">FMS0022</t>
  </si>
  <si>
    <t xml:space="preserve">TASK0022</t>
  </si>
  <si>
    <t xml:space="preserve">FMS0023</t>
  </si>
  <si>
    <t xml:space="preserve">TASK0023</t>
  </si>
  <si>
    <t xml:space="preserve">FMS0024</t>
  </si>
  <si>
    <t xml:space="preserve">TASK0024</t>
  </si>
  <si>
    <t xml:space="preserve">FMS0025</t>
  </si>
  <si>
    <t xml:space="preserve">TASK0025</t>
  </si>
  <si>
    <t xml:space="preserve">FMS0026</t>
  </si>
  <si>
    <t xml:space="preserve">TASK0026</t>
  </si>
  <si>
    <t xml:space="preserve">FMS0027</t>
  </si>
  <si>
    <t xml:space="preserve">TASK0027</t>
  </si>
  <si>
    <t xml:space="preserve">FMS0028</t>
  </si>
  <si>
    <t xml:space="preserve">TASK0028</t>
  </si>
  <si>
    <t xml:space="preserve">FMS0029</t>
  </si>
  <si>
    <t xml:space="preserve">TASK0029</t>
  </si>
  <si>
    <t xml:space="preserve">FMS0030</t>
  </si>
  <si>
    <t xml:space="preserve">TASK0030</t>
  </si>
  <si>
    <t xml:space="preserve">FMS0031</t>
  </si>
  <si>
    <t xml:space="preserve">TASK0031</t>
  </si>
  <si>
    <t xml:space="preserve">FMS0032</t>
  </si>
  <si>
    <t xml:space="preserve">TASK0032</t>
  </si>
  <si>
    <t xml:space="preserve">FMS0033</t>
  </si>
  <si>
    <t xml:space="preserve">TASK0033</t>
  </si>
  <si>
    <t xml:space="preserve">FMS0034</t>
  </si>
  <si>
    <t xml:space="preserve">TASK0034</t>
  </si>
  <si>
    <t xml:space="preserve">FMS0035</t>
  </si>
  <si>
    <t xml:space="preserve">TASK0035</t>
  </si>
  <si>
    <t xml:space="preserve">FMS0036</t>
  </si>
  <si>
    <t xml:space="preserve">TASK0036</t>
  </si>
  <si>
    <t xml:space="preserve">FMS0037</t>
  </si>
  <si>
    <t xml:space="preserve">TASK0037</t>
  </si>
  <si>
    <t xml:space="preserve">FMS0038</t>
  </si>
  <si>
    <t xml:space="preserve">TASK0038</t>
  </si>
  <si>
    <t xml:space="preserve">FMS0039</t>
  </si>
  <si>
    <t xml:space="preserve">TASK0039</t>
  </si>
  <si>
    <t xml:space="preserve">FMS0040</t>
  </si>
  <si>
    <t xml:space="preserve">TASK0040</t>
  </si>
  <si>
    <t xml:space="preserve">FMS0041</t>
  </si>
  <si>
    <t xml:space="preserve">TASK0041</t>
  </si>
  <si>
    <t xml:space="preserve">FMS0042</t>
  </si>
  <si>
    <t xml:space="preserve">TASK0042</t>
  </si>
  <si>
    <t xml:space="preserve">FMS0043</t>
  </si>
  <si>
    <t xml:space="preserve">TASK0043</t>
  </si>
  <si>
    <t xml:space="preserve">FMS0044</t>
  </si>
  <si>
    <t xml:space="preserve">TASK0044</t>
  </si>
  <si>
    <t xml:space="preserve">FMS0045</t>
  </si>
  <si>
    <t xml:space="preserve">TASK0045</t>
  </si>
  <si>
    <t xml:space="preserve">FMS0046</t>
  </si>
  <si>
    <t xml:space="preserve">TASK0046</t>
  </si>
  <si>
    <t xml:space="preserve">FMS0047</t>
  </si>
  <si>
    <t xml:space="preserve">TASK0047</t>
  </si>
  <si>
    <t xml:space="preserve">FMS0048</t>
  </si>
  <si>
    <t xml:space="preserve">TASK0048</t>
  </si>
  <si>
    <t xml:space="preserve">FMS0049</t>
  </si>
  <si>
    <t xml:space="preserve">TASK0049</t>
  </si>
  <si>
    <t xml:space="preserve">FMS0050</t>
  </si>
  <si>
    <t xml:space="preserve">TASK0050</t>
  </si>
  <si>
    <t xml:space="preserve">TASK0051</t>
  </si>
  <si>
    <t xml:space="preserve">TASK0052</t>
  </si>
  <si>
    <t xml:space="preserve">TASK0053</t>
  </si>
  <si>
    <t xml:space="preserve">TASK0054</t>
  </si>
  <si>
    <t xml:space="preserve">TASK0055</t>
  </si>
  <si>
    <t xml:space="preserve">TASK0056</t>
  </si>
  <si>
    <t xml:space="preserve">TASK0057</t>
  </si>
  <si>
    <t xml:space="preserve">TASK0058</t>
  </si>
  <si>
    <t xml:space="preserve">TASK0059</t>
  </si>
  <si>
    <t xml:space="preserve">TASK0060</t>
  </si>
  <si>
    <t xml:space="preserve">TASK0061</t>
  </si>
  <si>
    <t xml:space="preserve">TASK0062</t>
  </si>
  <si>
    <t xml:space="preserve">TASK0063</t>
  </si>
  <si>
    <t xml:space="preserve">TASK0064</t>
  </si>
  <si>
    <t xml:space="preserve">TASK0065</t>
  </si>
  <si>
    <t xml:space="preserve">TASK0066</t>
  </si>
  <si>
    <t xml:space="preserve">TASK0067</t>
  </si>
  <si>
    <t xml:space="preserve">TASK0068</t>
  </si>
  <si>
    <t xml:space="preserve">TASK0069</t>
  </si>
  <si>
    <t xml:space="preserve">TASK0070</t>
  </si>
  <si>
    <t xml:space="preserve">Lists &amp; Settings</t>
  </si>
  <si>
    <t xml:space="preserve">Editable validation lists and workbook control parameters • All data is fictional</t>
  </si>
  <si>
    <t xml:space="preserve">Activity Status</t>
  </si>
  <si>
    <t xml:space="preserve">Activity Types</t>
  </si>
  <si>
    <t xml:space="preserve">Departments</t>
  </si>
  <si>
    <t xml:space="preserve">Stock Alert</t>
  </si>
  <si>
    <t xml:space="preserve">On Leave</t>
  </si>
  <si>
    <t xml:space="preserve">Inactive</t>
  </si>
  <si>
    <t xml:space="preserve">Control Parameter</t>
  </si>
  <si>
    <t xml:space="preserve">Active Setting</t>
  </si>
  <si>
    <t xml:space="preserve">As-of Date</t>
  </si>
  <si>
    <t xml:space="preserve">Week Starts On</t>
  </si>
  <si>
    <t xml:space="preserve">Monday</t>
  </si>
  <si>
    <t xml:space="preserve">Currency</t>
  </si>
  <si>
    <t xml:space="preserve">INR (₹)</t>
  </si>
  <si>
    <t xml:space="preserve">Workbook Administration Notes</t>
  </si>
  <si>
    <t xml:space="preserve">Add new operational rows directly below each Excel Table (OrdersTable, InventoryTable, EmployeeTable, FMSTable, ChecklistTable); structured references and dashboards expand automatically.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</si>
</sst>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₹#,##0"/>
    <numFmt numFmtId="167" formatCode="0.0"/>
    <numFmt numFmtId="168" formatCode="dd\-mmm\-yyyy"/>
    <numFmt numFmtId="169" formatCode="dd\-mmm\-yyyy\ hh:mm"/>
    <numFmt numFmtId="170" formatCode="0.00"/>
    <numFmt numFmtId="171" formatCode="General"/>
    <numFmt numFmtId="172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17365D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b val="true"/>
      <sz val="10"/>
      <color rgb="FF1F4E78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DF2F8"/>
        <bgColor rgb="FFF9F9F9"/>
      </patternFill>
    </fill>
    <fill>
      <patternFill patternType="solid">
        <fgColor rgb="FF1F4E78"/>
        <bgColor rgb="FF2F5597"/>
      </patternFill>
    </fill>
    <fill>
      <patternFill patternType="solid">
        <fgColor rgb="FFDDEBF7"/>
        <bgColor rgb="FFD9E2F3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9F9F9"/>
      </patternFill>
    </fill>
    <fill>
      <patternFill patternType="solid">
        <fgColor rgb="FFD9E1F2"/>
        <bgColor rgb="FFD9E2F3"/>
      </patternFill>
    </fill>
    <fill>
      <patternFill patternType="solid">
        <fgColor rgb="FF2F5597"/>
        <bgColor rgb="FF1F4E7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E7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8"/>
      </top>
      <bottom style="thin">
        <color rgb="FF1F4E7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 patternType="solid">
          <fgColor rgb="FF1F4E78"/>
        </patternFill>
      </fill>
    </dxf>
    <dxf>
      <fill>
        <patternFill patternType="solid">
          <fgColor rgb="FFF9FAF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9C000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D9E1F2"/>
      <rgbColor rgb="FF878787"/>
      <rgbColor rgb="FF9999FF"/>
      <rgbColor rgb="FFC0504D"/>
      <rgbColor rgb="FFFFF2CC"/>
      <rgbColor rgb="FFDDEBF7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8"/>
      <rgbColor rgb="FFE2F0D9"/>
      <rgbColor rgb="FFF9F9F9"/>
      <rgbColor rgb="FFD9E2F3"/>
      <rgbColor rgb="FFF9FAFC"/>
      <rgbColor rgb="FFE4DFEC"/>
      <rgbColor rgb="FFFCE4D6"/>
      <rgbColor rgb="FF4F81BD"/>
      <rgbColor rgb="FF4BACC6"/>
      <rgbColor rgb="FF9BBB59"/>
      <rgbColor rgb="FFFFCC00"/>
      <rgbColor rgb="FFFF9900"/>
      <rgbColor rgb="FFFF6600"/>
      <rgbColor rgb="FF8064A2"/>
      <rgbColor rgb="FF8E7CC3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'Master Dashboard'!B13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'Master Dashboard'!$A$14:$A$18</c:f>
              <c:strCache>
                <c:ptCount val="5"/>
                <c:pt idx="0">
                  <c:v>Delivered</c:v>
                </c:pt>
                <c:pt idx="1">
                  <c:v>Pending</c:v>
                </c:pt>
                <c:pt idx="2">
                  <c:v>Processing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'Master Dashboard'!$B$14:$B$18</c:f>
              <c:numCache>
                <c:formatCode>General</c:formatCode>
                <c:ptCount val="5"/>
                <c:pt idx="0">
                  <c:v>34</c:v>
                </c:pt>
                <c:pt idx="1">
                  <c:v>8</c:v>
                </c:pt>
                <c:pt idx="2">
                  <c:v>13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Reorder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'Master Dashboard'!E13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Dashboard'!$D$14:$D$15</c:f>
              <c:strCache>
                <c:ptCount val="2"/>
                <c:pt idx="0">
                  <c:v>OK</c:v>
                </c:pt>
                <c:pt idx="1">
                  <c:v>REORDER</c:v>
                </c:pt>
              </c:strCache>
            </c:strRef>
          </c:cat>
          <c:val>
            <c:numRef>
              <c:f>'Master Dashboard'!$E$14:$E$15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gapWidth val="150"/>
        <c:overlap val="0"/>
        <c:axId val="56841873"/>
        <c:axId val="21528947"/>
      </c:barChart>
      <c:catAx>
        <c:axId val="56841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 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28947"/>
        <c:crosses val="autoZero"/>
        <c:auto val="1"/>
        <c:lblAlgn val="ctr"/>
        <c:lblOffset val="100"/>
        <c:noMultiLvlLbl val="0"/>
      </c:catAx>
      <c:valAx>
        <c:axId val="21528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41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Completed Field Activities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'Master Dashboard'!H13</c:f>
              <c:strCache>
                <c:ptCount val="1"/>
                <c:pt idx="0">
                  <c:v>Completed Activities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Dashboard'!$G$14:$G$23</c:f>
              <c:strCache>
                <c:ptCount val="10"/>
                <c:pt idx="0">
                  <c:v>Aarav Sharma</c:v>
                </c:pt>
                <c:pt idx="1">
                  <c:v>Diya Verma</c:v>
                </c:pt>
                <c:pt idx="2">
                  <c:v>Kabir Patel</c:v>
                </c:pt>
                <c:pt idx="3">
                  <c:v>Meera Singh</c:v>
                </c:pt>
                <c:pt idx="4">
                  <c:v>Ishaan Gupta</c:v>
                </c:pt>
                <c:pt idx="5">
                  <c:v>Ananya Rao</c:v>
                </c:pt>
                <c:pt idx="6">
                  <c:v>Rohan Das</c:v>
                </c:pt>
                <c:pt idx="7">
                  <c:v>Sana Khan</c:v>
                </c:pt>
                <c:pt idx="8">
                  <c:v>Vivaan Joshi</c:v>
                </c:pt>
                <c:pt idx="9">
                  <c:v>Ira Nair</c:v>
                </c:pt>
              </c:strCache>
            </c:strRef>
          </c:cat>
          <c:val>
            <c:numRef>
              <c:f>'Master Dashboard'!$H$14:$H$23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gapWidth val="150"/>
        <c:overlap val="0"/>
        <c:axId val="91956134"/>
        <c:axId val="12216000"/>
      </c:barChart>
      <c:catAx>
        <c:axId val="91956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16000"/>
        <c:crosses val="autoZero"/>
        <c:auto val="1"/>
        <c:lblAlgn val="ctr"/>
        <c:lblOffset val="100"/>
        <c:noMultiLvlLbl val="0"/>
      </c:catAx>
      <c:valAx>
        <c:axId val="12216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56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Checklist Compliance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'Master Dashboard'!K13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'Master Dashboard'!$J$14:$J$17</c:f>
              <c:strCache>
                <c:ptCount val="4"/>
                <c:pt idx="0">
                  <c:v>On Time</c:v>
                </c:pt>
                <c:pt idx="1">
                  <c:v>Delayed</c:v>
                </c:pt>
                <c:pt idx="2">
                  <c:v>Overdue</c:v>
                </c:pt>
                <c:pt idx="3">
                  <c:v>Pending</c:v>
                </c:pt>
              </c:strCache>
            </c:strRef>
          </c:cat>
          <c:val>
            <c:numRef>
              <c:f>'Master Dashboard'!$K$14:$K$17</c:f>
              <c:numCache>
                <c:formatCode>General</c:formatCode>
                <c:ptCount val="4"/>
                <c:pt idx="0">
                  <c:v>30</c:v>
                </c:pt>
                <c:pt idx="1">
                  <c:v>14</c:v>
                </c:pt>
                <c:pt idx="2">
                  <c:v>16</c:v>
                </c:pt>
                <c:pt idx="3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Completed Field Activities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'FMS Dashboard'!B9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'FMS Dashboard'!$A$10:$A$19</c:f>
              <c:strCache>
                <c:ptCount val="10"/>
                <c:pt idx="0">
                  <c:v>Aarav Sharma</c:v>
                </c:pt>
                <c:pt idx="1">
                  <c:v>Diya Verma</c:v>
                </c:pt>
                <c:pt idx="2">
                  <c:v>Kabir Patel</c:v>
                </c:pt>
                <c:pt idx="3">
                  <c:v>Meera Singh</c:v>
                </c:pt>
                <c:pt idx="4">
                  <c:v>Ishaan Gupta</c:v>
                </c:pt>
                <c:pt idx="5">
                  <c:v>Ananya Rao</c:v>
                </c:pt>
                <c:pt idx="6">
                  <c:v>Rohan Das</c:v>
                </c:pt>
                <c:pt idx="7">
                  <c:v>Sana Khan</c:v>
                </c:pt>
                <c:pt idx="8">
                  <c:v>Vivaan Joshi</c:v>
                </c:pt>
                <c:pt idx="9">
                  <c:v>Ira Nair</c:v>
                </c:pt>
              </c:strCache>
            </c:strRef>
          </c:cat>
          <c:val>
            <c:numRef>
              <c:f>'FMS Dashboard'!$B$10:$B$19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gapWidth val="150"/>
        <c:overlap val="0"/>
        <c:axId val="71599104"/>
        <c:axId val="48538726"/>
      </c:barChart>
      <c:catAx>
        <c:axId val="715991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Completed Activities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38726"/>
        <c:crosses val="autoZero"/>
        <c:auto val="1"/>
        <c:lblAlgn val="ctr"/>
        <c:lblOffset val="100"/>
        <c:noMultiLvlLbl val="0"/>
      </c:catAx>
      <c:valAx>
        <c:axId val="48538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99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Compliance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'Checklist Dashboard'!B9</c:f>
              <c:strCache>
                <c:ptCount val="1"/>
                <c:pt idx="0">
                  <c:v>Task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'Checklist Dashboard'!$A$10:$A$13</c:f>
              <c:strCache>
                <c:ptCount val="4"/>
                <c:pt idx="0">
                  <c:v>On Time</c:v>
                </c:pt>
                <c:pt idx="1">
                  <c:v>Delayed</c:v>
                </c:pt>
                <c:pt idx="2">
                  <c:v>Overdue</c:v>
                </c:pt>
                <c:pt idx="3">
                  <c:v>Pending</c:v>
                </c:pt>
              </c:strCache>
            </c:strRef>
          </c:cat>
          <c:val>
            <c:numRef>
              <c:f>'Checklist Dashboard'!$B$10:$B$13</c:f>
              <c:numCache>
                <c:formatCode>General</c:formatCode>
                <c:ptCount val="4"/>
                <c:pt idx="0">
                  <c:v>30</c:v>
                </c:pt>
                <c:pt idx="1">
                  <c:v>14</c:v>
                </c:pt>
                <c:pt idx="2">
                  <c:v>16</c:v>
                </c:pt>
                <c:pt idx="3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Stock vs. Reorder Level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'Inventory Management'!G3</c:f>
              <c:strCache>
                <c:ptCount val="1"/>
                <c:pt idx="0">
                  <c:v>Current Stock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Management'!$B$4:$B$13</c:f>
              <c:strCache>
                <c:ptCount val="10"/>
                <c:pt idx="0">
                  <c:v>Wireless Mouse</c:v>
                </c:pt>
                <c:pt idx="1">
                  <c:v>Keyboard</c:v>
                </c:pt>
                <c:pt idx="2">
                  <c:v>USB-C Hub</c:v>
                </c:pt>
                <c:pt idx="3">
                  <c:v>Laptop Stand</c:v>
                </c:pt>
                <c:pt idx="4">
                  <c:v>Webcam HD</c:v>
                </c:pt>
                <c:pt idx="5">
                  <c:v>Headset</c:v>
                </c:pt>
                <c:pt idx="6">
                  <c:v>Power Adapter</c:v>
                </c:pt>
                <c:pt idx="7">
                  <c:v>Notebook Pack</c:v>
                </c:pt>
                <c:pt idx="8">
                  <c:v>Ethernet Cable</c:v>
                </c:pt>
                <c:pt idx="9">
                  <c:v>Portable SSD</c:v>
                </c:pt>
              </c:strCache>
            </c:strRef>
          </c:cat>
          <c:val>
            <c:numRef>
              <c:f>'Inventory Management'!$G$4:$G$13</c:f>
              <c:numCache>
                <c:formatCode>General</c:formatCode>
                <c:ptCount val="10"/>
                <c:pt idx="0">
                  <c:v>119</c:v>
                </c:pt>
                <c:pt idx="1">
                  <c:v>3</c:v>
                </c:pt>
                <c:pt idx="2">
                  <c:v>30</c:v>
                </c:pt>
                <c:pt idx="3">
                  <c:v>12</c:v>
                </c:pt>
                <c:pt idx="4">
                  <c:v>3</c:v>
                </c:pt>
                <c:pt idx="5">
                  <c:v>55</c:v>
                </c:pt>
                <c:pt idx="6">
                  <c:v>66</c:v>
                </c:pt>
                <c:pt idx="7">
                  <c:v>144</c:v>
                </c:pt>
                <c:pt idx="8">
                  <c:v>148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'Inventory Management'!H3</c:f>
              <c:strCache>
                <c:ptCount val="1"/>
                <c:pt idx="0">
                  <c:v>Reorder Level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Management'!$B$4:$B$13</c:f>
              <c:strCache>
                <c:ptCount val="10"/>
                <c:pt idx="0">
                  <c:v>Wireless Mouse</c:v>
                </c:pt>
                <c:pt idx="1">
                  <c:v>Keyboard</c:v>
                </c:pt>
                <c:pt idx="2">
                  <c:v>USB-C Hub</c:v>
                </c:pt>
                <c:pt idx="3">
                  <c:v>Laptop Stand</c:v>
                </c:pt>
                <c:pt idx="4">
                  <c:v>Webcam HD</c:v>
                </c:pt>
                <c:pt idx="5">
                  <c:v>Headset</c:v>
                </c:pt>
                <c:pt idx="6">
                  <c:v>Power Adapter</c:v>
                </c:pt>
                <c:pt idx="7">
                  <c:v>Notebook Pack</c:v>
                </c:pt>
                <c:pt idx="8">
                  <c:v>Ethernet Cable</c:v>
                </c:pt>
                <c:pt idx="9">
                  <c:v>Portable SSD</c:v>
                </c:pt>
              </c:strCache>
            </c:strRef>
          </c:cat>
          <c:val>
            <c:numRef>
              <c:f>'Inventory Management'!$H$4:$H$13</c:f>
              <c:numCache>
                <c:formatCode>General</c:formatCode>
                <c:ptCount val="10"/>
                <c:pt idx="0">
                  <c:v>35</c:v>
                </c:pt>
                <c:pt idx="1">
                  <c:v>25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60</c:v>
                </c:pt>
                <c:pt idx="9">
                  <c:v>12</c:v>
                </c:pt>
              </c:numCache>
            </c:numRef>
          </c:val>
        </c:ser>
        <c:gapWidth val="150"/>
        <c:overlap val="0"/>
        <c:axId val="86368673"/>
        <c:axId val="25977819"/>
      </c:barChart>
      <c:catAx>
        <c:axId val="86368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77819"/>
        <c:crosses val="autoZero"/>
        <c:auto val="1"/>
        <c:lblAlgn val="ctr"/>
        <c:lblOffset val="100"/>
        <c:noMultiLvlLbl val="0"/>
      </c:catAx>
      <c:valAx>
        <c:axId val="25977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8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MIS Report — Operational Activity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'Daily MIS Report'!B7</c:f>
              <c:strCache>
                <c:ptCount val="1"/>
                <c:pt idx="0">
                  <c:v>Period Result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MIS Report'!$A$8:$A$14</c:f>
              <c:strCache>
                <c:ptCount val="7"/>
                <c:pt idx="0">
                  <c:v>Orders created</c:v>
                </c:pt>
                <c:pt idx="1">
                  <c:v>Delivered orders</c:v>
                </c:pt>
                <c:pt idx="2">
                  <c:v>Field activities assigned</c:v>
                </c:pt>
                <c:pt idx="3">
                  <c:v>Field activities completed</c:v>
                </c:pt>
                <c:pt idx="4">
                  <c:v>Checklist tasks due</c:v>
                </c:pt>
                <c:pt idx="5">
                  <c:v>On-time checklist completions</c:v>
                </c:pt>
                <c:pt idx="6">
                  <c:v>Low-stock products (Reorder)</c:v>
                </c:pt>
              </c:strCache>
            </c:strRef>
          </c:cat>
          <c:val>
            <c:numRef>
              <c:f>'Daily MIS Report'!$B$8:$B$14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15045483"/>
        <c:axId val="92263574"/>
      </c:barChart>
      <c:catAx>
        <c:axId val="1504548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63574"/>
        <c:crosses val="autoZero"/>
        <c:auto val="1"/>
        <c:lblAlgn val="ctr"/>
        <c:lblOffset val="100"/>
        <c:noMultiLvlLbl val="0"/>
      </c:catAx>
      <c:valAx>
        <c:axId val="92263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45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MIS Report — Operational Activity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'Weekly MIS Report'!B7</c:f>
              <c:strCache>
                <c:ptCount val="1"/>
                <c:pt idx="0">
                  <c:v>Period Result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MIS Report'!$A$8:$A$14</c:f>
              <c:strCache>
                <c:ptCount val="7"/>
                <c:pt idx="0">
                  <c:v>Orders created</c:v>
                </c:pt>
                <c:pt idx="1">
                  <c:v>Delivered orders</c:v>
                </c:pt>
                <c:pt idx="2">
                  <c:v>Field activities assigned</c:v>
                </c:pt>
                <c:pt idx="3">
                  <c:v>Field activities completed</c:v>
                </c:pt>
                <c:pt idx="4">
                  <c:v>Checklist tasks due</c:v>
                </c:pt>
                <c:pt idx="5">
                  <c:v>On-time checklist completions</c:v>
                </c:pt>
                <c:pt idx="6">
                  <c:v>Low-stock products (Reorder)</c:v>
                </c:pt>
              </c:strCache>
            </c:strRef>
          </c:cat>
          <c:val>
            <c:numRef>
              <c:f>'Weekly MIS Report'!$B$8:$B$14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13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1617120"/>
        <c:axId val="26013363"/>
      </c:barChart>
      <c:catAx>
        <c:axId val="161712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13363"/>
        <c:crosses val="autoZero"/>
        <c:auto val="1"/>
        <c:lblAlgn val="ctr"/>
        <c:lblOffset val="100"/>
        <c:noMultiLvlLbl val="0"/>
      </c:catAx>
      <c:valAx>
        <c:axId val="26013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7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MIS Report — Operational Activity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'Monthly MIS Report'!B7</c:f>
              <c:strCache>
                <c:ptCount val="1"/>
                <c:pt idx="0">
                  <c:v>Period Result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MIS Report'!$A$8:$A$14</c:f>
              <c:strCache>
                <c:ptCount val="7"/>
                <c:pt idx="0">
                  <c:v>Orders created</c:v>
                </c:pt>
                <c:pt idx="1">
                  <c:v>Delivered orders</c:v>
                </c:pt>
                <c:pt idx="2">
                  <c:v>Field activities assigned</c:v>
                </c:pt>
                <c:pt idx="3">
                  <c:v>Field activities completed</c:v>
                </c:pt>
                <c:pt idx="4">
                  <c:v>Checklist tasks due</c:v>
                </c:pt>
                <c:pt idx="5">
                  <c:v>On-time checklist completions</c:v>
                </c:pt>
                <c:pt idx="6">
                  <c:v>Low-stock products (Reorder)</c:v>
                </c:pt>
              </c:strCache>
            </c:strRef>
          </c:cat>
          <c:val>
            <c:numRef>
              <c:f>'Monthly MIS Report'!$B$8:$B$14</c:f>
              <c:numCache>
                <c:formatCode>General</c:formatCode>
                <c:ptCount val="7"/>
                <c:pt idx="0">
                  <c:v>16</c:v>
                </c:pt>
                <c:pt idx="1">
                  <c:v>11</c:v>
                </c:pt>
                <c:pt idx="2">
                  <c:v>19</c:v>
                </c:pt>
                <c:pt idx="3">
                  <c:v>13</c:v>
                </c:pt>
                <c:pt idx="4">
                  <c:v>35</c:v>
                </c:pt>
                <c:pt idx="5">
                  <c:v>14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97087023"/>
        <c:axId val="54018890"/>
      </c:barChart>
      <c:catAx>
        <c:axId val="9708702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18890"/>
        <c:crosses val="autoZero"/>
        <c:auto val="1"/>
        <c:lblAlgn val="ctr"/>
        <c:lblOffset val="100"/>
        <c:noMultiLvlLbl val="0"/>
      </c:catAx>
      <c:valAx>
        <c:axId val="54018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87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5</xdr:col>
      <xdr:colOff>174600</xdr:colOff>
      <xdr:row>37</xdr:row>
      <xdr:rowOff>53640</xdr:rowOff>
    </xdr:to>
    <xdr:graphicFrame>
      <xdr:nvGraphicFramePr>
        <xdr:cNvPr id="0" name="Chart 1"/>
        <xdr:cNvGraphicFramePr/>
      </xdr:nvGraphicFramePr>
      <xdr:xfrm>
        <a:off x="0" y="4962600"/>
        <a:ext cx="4967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10</xdr:col>
      <xdr:colOff>527040</xdr:colOff>
      <xdr:row>37</xdr:row>
      <xdr:rowOff>53640</xdr:rowOff>
    </xdr:to>
    <xdr:graphicFrame>
      <xdr:nvGraphicFramePr>
        <xdr:cNvPr id="1" name="Chart 2"/>
        <xdr:cNvGraphicFramePr/>
      </xdr:nvGraphicFramePr>
      <xdr:xfrm>
        <a:off x="5074920" y="4962600"/>
        <a:ext cx="4967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5</xdr:col>
      <xdr:colOff>174600</xdr:colOff>
      <xdr:row>51</xdr:row>
      <xdr:rowOff>53640</xdr:rowOff>
    </xdr:to>
    <xdr:graphicFrame>
      <xdr:nvGraphicFramePr>
        <xdr:cNvPr id="2" name="Chart 3"/>
        <xdr:cNvGraphicFramePr/>
      </xdr:nvGraphicFramePr>
      <xdr:xfrm>
        <a:off x="0" y="7629480"/>
        <a:ext cx="4967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10</xdr:col>
      <xdr:colOff>527040</xdr:colOff>
      <xdr:row>51</xdr:row>
      <xdr:rowOff>53640</xdr:rowOff>
    </xdr:to>
    <xdr:graphicFrame>
      <xdr:nvGraphicFramePr>
        <xdr:cNvPr id="3" name="Chart 4"/>
        <xdr:cNvGraphicFramePr/>
      </xdr:nvGraphicFramePr>
      <xdr:xfrm>
        <a:off x="5074920" y="7629480"/>
        <a:ext cx="4967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8</xdr:col>
      <xdr:colOff>1068840</xdr:colOff>
      <xdr:row>19</xdr:row>
      <xdr:rowOff>142560</xdr:rowOff>
    </xdr:to>
    <xdr:graphicFrame>
      <xdr:nvGraphicFramePr>
        <xdr:cNvPr id="4" name="Chart 1"/>
        <xdr:cNvGraphicFramePr/>
      </xdr:nvGraphicFramePr>
      <xdr:xfrm>
        <a:off x="7260120" y="1724040"/>
        <a:ext cx="557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8</xdr:col>
      <xdr:colOff>66600</xdr:colOff>
      <xdr:row>17</xdr:row>
      <xdr:rowOff>117000</xdr:rowOff>
    </xdr:to>
    <xdr:graphicFrame>
      <xdr:nvGraphicFramePr>
        <xdr:cNvPr id="5" name="Chart 1"/>
        <xdr:cNvGraphicFramePr/>
      </xdr:nvGraphicFramePr>
      <xdr:xfrm>
        <a:off x="4793040" y="1533600"/>
        <a:ext cx="48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307080</xdr:colOff>
      <xdr:row>28</xdr:row>
      <xdr:rowOff>43200</xdr:rowOff>
    </xdr:to>
    <xdr:graphicFrame>
      <xdr:nvGraphicFramePr>
        <xdr:cNvPr id="6" name="Chart 1"/>
        <xdr:cNvGraphicFramePr/>
      </xdr:nvGraphicFramePr>
      <xdr:xfrm>
        <a:off x="0" y="3267000"/>
        <a:ext cx="79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13</xdr:row>
      <xdr:rowOff>0</xdr:rowOff>
    </xdr:from>
    <xdr:to>
      <xdr:col>8</xdr:col>
      <xdr:colOff>684720</xdr:colOff>
      <xdr:row>25</xdr:row>
      <xdr:rowOff>161640</xdr:rowOff>
    </xdr:to>
    <xdr:graphicFrame>
      <xdr:nvGraphicFramePr>
        <xdr:cNvPr id="7" name="Chart 1"/>
        <xdr:cNvGraphicFramePr/>
      </xdr:nvGraphicFramePr>
      <xdr:xfrm>
        <a:off x="4863600" y="2886120"/>
        <a:ext cx="57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13</xdr:row>
      <xdr:rowOff>0</xdr:rowOff>
    </xdr:from>
    <xdr:to>
      <xdr:col>8</xdr:col>
      <xdr:colOff>684720</xdr:colOff>
      <xdr:row>25</xdr:row>
      <xdr:rowOff>161640</xdr:rowOff>
    </xdr:to>
    <xdr:graphicFrame>
      <xdr:nvGraphicFramePr>
        <xdr:cNvPr id="8" name="Chart 1"/>
        <xdr:cNvGraphicFramePr/>
      </xdr:nvGraphicFramePr>
      <xdr:xfrm>
        <a:off x="4863600" y="2886120"/>
        <a:ext cx="57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13</xdr:row>
      <xdr:rowOff>0</xdr:rowOff>
    </xdr:from>
    <xdr:to>
      <xdr:col>8</xdr:col>
      <xdr:colOff>684720</xdr:colOff>
      <xdr:row>25</xdr:row>
      <xdr:rowOff>161640</xdr:rowOff>
    </xdr:to>
    <xdr:graphicFrame>
      <xdr:nvGraphicFramePr>
        <xdr:cNvPr id="9" name="Chart 1"/>
        <xdr:cNvGraphicFramePr/>
      </xdr:nvGraphicFramePr>
      <xdr:xfrm>
        <a:off x="4863600" y="2886120"/>
        <a:ext cx="57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ecklistTable" displayName="ChecklistTable" ref="L4:U74" headerRowCount="1" totalsRowCount="0" totalsRowShown="0">
  <autoFilter ref="L4:U74"/>
  <tableColumns count="10">
    <tableColumn id="1" name="Task ID"/>
    <tableColumn id="2" name="Employee ID"/>
    <tableColumn id="3" name="Employee Name (XLOOKUP)"/>
    <tableColumn id="4" name="Task Type"/>
    <tableColumn id="5" name="Assigned Date"/>
    <tableColumn id="6" name="Due Date"/>
    <tableColumn id="7" name="Completion Date"/>
    <tableColumn id="8" name="Task Status"/>
    <tableColumn id="9" name="Compliance Status"/>
    <tableColumn id="10" name="On-Time Flag"/>
  </tableColumns>
</table>
</file>

<file path=xl/tables/table2.xml><?xml version="1.0" encoding="utf-8"?>
<table xmlns="http://schemas.openxmlformats.org/spreadsheetml/2006/main" id="2" name="EmployeeTable" displayName="EmployeeTable" ref="A3:G13" headerRowCount="1" totalsRowCount="0" totalsRowShown="0">
  <autoFilter ref="A3:G13"/>
  <tableColumns count="7">
    <tableColumn id="1" name="Employee ID"/>
    <tableColumn id="2" name="Employee Name"/>
    <tableColumn id="3" name="Department"/>
    <tableColumn id="4" name="Designation"/>
    <tableColumn id="5" name="Joining Date"/>
    <tableColumn id="6" name="Tenure (Years)"/>
    <tableColumn id="7" name="Employee Status"/>
  </tableColumns>
</table>
</file>

<file path=xl/tables/table3.xml><?xml version="1.0" encoding="utf-8"?>
<table xmlns="http://schemas.openxmlformats.org/spreadsheetml/2006/main" id="3" name="FMSTable" displayName="FMSTable" ref="A4:J54" headerRowCount="1" totalsRowCount="0" totalsRowShown="0">
  <autoFilter ref="A4:J54"/>
  <tableColumns count="10">
    <tableColumn id="1" name="Activity ID"/>
    <tableColumn id="2" name="Activity Date"/>
    <tableColumn id="3" name="Employee ID"/>
    <tableColumn id="4" name="Employee Name (XLOOKUP)"/>
    <tableColumn id="5" name="Activity Type"/>
    <tableColumn id="6" name="Assignment Date/Time"/>
    <tableColumn id="7" name="Completion Date/Time"/>
    <tableColumn id="8" name="Status"/>
    <tableColumn id="9" name="TAT (Hours)"/>
    <tableColumn id="10" name="SLA Result"/>
  </tableColumns>
</table>
</file>

<file path=xl/tables/table4.xml><?xml version="1.0" encoding="utf-8"?>
<table xmlns="http://schemas.openxmlformats.org/spreadsheetml/2006/main" id="4" name="InventoryTable" displayName="InventoryTable" ref="A3:K13" headerRowCount="1" totalsRowCount="0" totalsRowShown="0">
  <autoFilter ref="A3:K13"/>
  <tableColumns count="11">
    <tableColumn id="1" name="Product ID"/>
    <tableColumn id="2" name="Product Name"/>
    <tableColumn id="3" name="Category"/>
    <tableColumn id="4" name="Opening Stock"/>
    <tableColumn id="5" name="Stock Received"/>
    <tableColumn id="6" name="Stock Issued"/>
    <tableColumn id="7" name="Current Stock"/>
    <tableColumn id="8" name="Reorder Level"/>
    <tableColumn id="9" name="Unit Cost (₹)"/>
    <tableColumn id="10" name="Inventory Value (₹)"/>
    <tableColumn id="11" name="Reorder Alert"/>
  </tableColumns>
</table>
</file>

<file path=xl/tables/table5.xml><?xml version="1.0" encoding="utf-8"?>
<table xmlns="http://schemas.openxmlformats.org/spreadsheetml/2006/main" id="5" name="OrdersTable" displayName="OrdersTable" ref="A3:N63" headerRowCount="1" totalsRowCount="0" totalsRowShown="0">
  <autoFilter ref="A3:N63"/>
  <tableColumns count="14">
    <tableColumn id="1" name="Order ID"/>
    <tableColumn id="2" name="Order Date"/>
    <tableColumn id="3" name="Customer"/>
    <tableColumn id="4" name="Product ID"/>
    <tableColumn id="5" name="Product"/>
    <tableColumn id="6" name="Quantity"/>
    <tableColumn id="7" name="Unit Price (₹)"/>
    <tableColumn id="8" name="Order Value (₹)"/>
    <tableColumn id="9" name="Employee ID"/>
    <tableColumn id="10" name="Employee Name (XLOOKUP)"/>
    <tableColumn id="11" name="Order Status"/>
    <tableColumn id="12" name="Expected Delivery"/>
    <tableColumn id="13" name="Actual Delivery"/>
    <tableColumn id="14" name="Overdue Statu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4"/>
    <col collapsed="false" customWidth="true" hidden="false" outlineLevel="0" max="10" min="10" style="0" width="19"/>
    <col collapsed="false" customWidth="true" hidden="false" outlineLevel="0" max="12" min="11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</row>
    <row r="5" customFormat="false" ht="15" hidden="false" customHeight="false" outlineLevel="0" collapsed="false">
      <c r="A5" s="4" t="n">
        <f aca="false">COUNTA(OrdersTable[Order ID])</f>
        <v>60</v>
      </c>
      <c r="B5" s="4"/>
      <c r="C5" s="4"/>
      <c r="D5" s="5" t="n">
        <f aca="false">COUNTIF(OrdersTable[Order Status],"Delivered")</f>
        <v>34</v>
      </c>
      <c r="E5" s="5"/>
      <c r="F5" s="5"/>
      <c r="G5" s="6" t="n">
        <f aca="false">COUNTIF(OrdersTable[Order Status],"Pending")+COUNTIF(OrdersTable[Order Status],"Processing")</f>
        <v>21</v>
      </c>
      <c r="H5" s="6"/>
      <c r="I5" s="6"/>
      <c r="J5" s="7" t="n">
        <f aca="false">SUM(OrdersTable[Order Value (₹)])</f>
        <v>452183</v>
      </c>
      <c r="K5" s="7"/>
      <c r="L5" s="7"/>
    </row>
    <row r="6" customFormat="false" ht="15" hidden="false" customHeight="false" outlineLevel="0" collapsed="false">
      <c r="A6" s="4"/>
      <c r="B6" s="4"/>
      <c r="C6" s="4"/>
      <c r="D6" s="5"/>
      <c r="E6" s="5"/>
      <c r="F6" s="5"/>
      <c r="G6" s="6"/>
      <c r="H6" s="6"/>
      <c r="I6" s="6"/>
      <c r="J6" s="7"/>
      <c r="K6" s="7"/>
      <c r="L6" s="7"/>
    </row>
    <row r="8" customFormat="false" ht="15" hidden="false" customHeight="false" outlineLevel="0" collapsed="false">
      <c r="A8" s="3" t="s">
        <v>6</v>
      </c>
      <c r="B8" s="3"/>
      <c r="C8" s="3"/>
      <c r="D8" s="3" t="s">
        <v>7</v>
      </c>
      <c r="E8" s="3"/>
      <c r="F8" s="3"/>
      <c r="G8" s="3" t="s">
        <v>8</v>
      </c>
      <c r="H8" s="3"/>
      <c r="I8" s="3"/>
      <c r="J8" s="3" t="s">
        <v>9</v>
      </c>
      <c r="K8" s="3"/>
      <c r="L8" s="3"/>
    </row>
    <row r="9" customFormat="false" ht="15" hidden="false" customHeight="false" outlineLevel="0" collapsed="false">
      <c r="A9" s="8" t="n">
        <f aca="false">SUM(InventoryTable[Inventory Value (₹)])</f>
        <v>384115</v>
      </c>
      <c r="B9" s="8"/>
      <c r="C9" s="8"/>
      <c r="D9" s="9" t="n">
        <f aca="false">COUNTIF(InventoryTable[Reorder Alert],"REORDER")</f>
        <v>4</v>
      </c>
      <c r="E9" s="9"/>
      <c r="F9" s="9"/>
      <c r="G9" s="5" t="n">
        <f aca="false">COUNTIF(FMSTable[Status],"Completed")</f>
        <v>27</v>
      </c>
      <c r="H9" s="5"/>
      <c r="I9" s="5"/>
      <c r="J9" s="9" t="n">
        <f aca="false">COUNTIF(ChecklistTable[Compliance Status],"Overdue")</f>
        <v>16</v>
      </c>
      <c r="K9" s="9"/>
      <c r="L9" s="9"/>
    </row>
    <row r="10" customFormat="false" ht="15" hidden="false" customHeight="false" outlineLevel="0" collapsed="false">
      <c r="A10" s="8"/>
      <c r="B10" s="8"/>
      <c r="C10" s="8"/>
      <c r="D10" s="9"/>
      <c r="E10" s="9"/>
      <c r="F10" s="9"/>
      <c r="G10" s="5"/>
      <c r="H10" s="5"/>
      <c r="I10" s="5"/>
      <c r="J10" s="9"/>
      <c r="K10" s="9"/>
      <c r="L10" s="9"/>
    </row>
    <row r="13" customFormat="false" ht="15" hidden="false" customHeight="false" outlineLevel="0" collapsed="false">
      <c r="A13" s="10" t="s">
        <v>10</v>
      </c>
      <c r="B13" s="10" t="s">
        <v>11</v>
      </c>
      <c r="D13" s="10" t="s">
        <v>12</v>
      </c>
      <c r="E13" s="10" t="s">
        <v>13</v>
      </c>
      <c r="G13" s="11" t="s">
        <v>14</v>
      </c>
      <c r="H13" s="10" t="s">
        <v>15</v>
      </c>
      <c r="J13" s="10" t="s">
        <v>16</v>
      </c>
      <c r="K13" s="10" t="s">
        <v>11</v>
      </c>
    </row>
    <row r="14" customFormat="false" ht="15" hidden="false" customHeight="false" outlineLevel="0" collapsed="false">
      <c r="A14" s="12" t="s">
        <v>17</v>
      </c>
      <c r="B14" s="13" t="n">
        <f aca="false">COUNTIF(OrdersTable[Order Status],A14)</f>
        <v>34</v>
      </c>
      <c r="D14" s="12" t="s">
        <v>18</v>
      </c>
      <c r="E14" s="13" t="n">
        <f aca="false">COUNTIF(InventoryTable[Reorder Alert],"OK")</f>
        <v>6</v>
      </c>
      <c r="G14" s="14" t="s">
        <v>19</v>
      </c>
      <c r="H14" s="13" t="n">
        <f aca="false">COUNTIFS(FMSTable[Employee Name (XLOOKUP)],G14,FMSTable[Status],"Completed")</f>
        <v>3</v>
      </c>
      <c r="J14" s="12" t="s">
        <v>20</v>
      </c>
      <c r="K14" s="13" t="n">
        <f aca="false">COUNTIF(ChecklistTable[Compliance Status],J14)</f>
        <v>30</v>
      </c>
    </row>
    <row r="15" customFormat="false" ht="15" hidden="false" customHeight="false" outlineLevel="0" collapsed="false">
      <c r="A15" s="15" t="s">
        <v>21</v>
      </c>
      <c r="B15" s="16" t="n">
        <f aca="false">COUNTIF(OrdersTable[Order Status],A15)</f>
        <v>8</v>
      </c>
      <c r="D15" s="15" t="s">
        <v>22</v>
      </c>
      <c r="E15" s="16" t="n">
        <f aca="false">COUNTIF(InventoryTable[Reorder Alert],"REORDER")</f>
        <v>4</v>
      </c>
      <c r="G15" s="17" t="s">
        <v>23</v>
      </c>
      <c r="H15" s="16" t="n">
        <f aca="false">COUNTIFS(FMSTable[Employee Name (XLOOKUP)],G15,FMSTable[Status],"Completed")</f>
        <v>2</v>
      </c>
      <c r="J15" s="15" t="s">
        <v>24</v>
      </c>
      <c r="K15" s="16" t="n">
        <f aca="false">COUNTIF(ChecklistTable[Compliance Status],J15)</f>
        <v>14</v>
      </c>
    </row>
    <row r="16" customFormat="false" ht="15" hidden="false" customHeight="false" outlineLevel="0" collapsed="false">
      <c r="A16" s="12" t="s">
        <v>25</v>
      </c>
      <c r="B16" s="13" t="n">
        <f aca="false">COUNTIF(OrdersTable[Order Status],A16)</f>
        <v>13</v>
      </c>
      <c r="D16" s="18" t="s">
        <v>26</v>
      </c>
      <c r="E16" s="19" t="n">
        <f aca="false">SUM(E14:E15)</f>
        <v>10</v>
      </c>
      <c r="G16" s="14" t="s">
        <v>27</v>
      </c>
      <c r="H16" s="13" t="n">
        <f aca="false">COUNTIFS(FMSTable[Employee Name (XLOOKUP)],G16,FMSTable[Status],"Completed")</f>
        <v>3</v>
      </c>
      <c r="J16" s="12" t="s">
        <v>28</v>
      </c>
      <c r="K16" s="13" t="n">
        <f aca="false">COUNTIF(ChecklistTable[Compliance Status],J16)</f>
        <v>16</v>
      </c>
    </row>
    <row r="17" customFormat="false" ht="15" hidden="false" customHeight="false" outlineLevel="0" collapsed="false">
      <c r="A17" s="15" t="s">
        <v>29</v>
      </c>
      <c r="B17" s="16" t="n">
        <f aca="false">COUNTIF(OrdersTable[Order Status],A17)</f>
        <v>1</v>
      </c>
      <c r="G17" s="17" t="s">
        <v>30</v>
      </c>
      <c r="H17" s="16" t="n">
        <f aca="false">COUNTIFS(FMSTable[Employee Name (XLOOKUP)],G17,FMSTable[Status],"Completed")</f>
        <v>2</v>
      </c>
      <c r="J17" s="15" t="s">
        <v>21</v>
      </c>
      <c r="K17" s="16" t="n">
        <f aca="false">COUNTIF(ChecklistTable[Compliance Status],J17)</f>
        <v>10</v>
      </c>
    </row>
    <row r="18" customFormat="false" ht="15" hidden="false" customHeight="false" outlineLevel="0" collapsed="false">
      <c r="A18" s="12" t="s">
        <v>31</v>
      </c>
      <c r="B18" s="13" t="n">
        <f aca="false">COUNTIF(OrdersTable[Order Status],A18)</f>
        <v>4</v>
      </c>
      <c r="G18" s="14" t="s">
        <v>32</v>
      </c>
      <c r="H18" s="13" t="n">
        <f aca="false">COUNTIFS(FMSTable[Employee Name (XLOOKUP)],G18,FMSTable[Status],"Completed")</f>
        <v>4</v>
      </c>
      <c r="J18" s="18" t="s">
        <v>26</v>
      </c>
      <c r="K18" s="19" t="n">
        <f aca="false">SUM(K14:K17)</f>
        <v>70</v>
      </c>
    </row>
    <row r="19" customFormat="false" ht="15" hidden="false" customHeight="false" outlineLevel="0" collapsed="false">
      <c r="A19" s="18" t="s">
        <v>26</v>
      </c>
      <c r="B19" s="19" t="n">
        <f aca="false">SUM(B14:B18)</f>
        <v>60</v>
      </c>
      <c r="G19" s="17" t="s">
        <v>33</v>
      </c>
      <c r="H19" s="16" t="n">
        <f aca="false">COUNTIFS(FMSTable[Employee Name (XLOOKUP)],G19,FMSTable[Status],"Completed")</f>
        <v>2</v>
      </c>
    </row>
    <row r="20" customFormat="false" ht="15" hidden="false" customHeight="false" outlineLevel="0" collapsed="false">
      <c r="G20" s="14" t="s">
        <v>34</v>
      </c>
      <c r="H20" s="13" t="n">
        <f aca="false">COUNTIFS(FMSTable[Employee Name (XLOOKUP)],G20,FMSTable[Status],"Completed")</f>
        <v>3</v>
      </c>
    </row>
    <row r="21" customFormat="false" ht="15" hidden="false" customHeight="false" outlineLevel="0" collapsed="false">
      <c r="G21" s="17" t="s">
        <v>35</v>
      </c>
      <c r="H21" s="16" t="n">
        <f aca="false">COUNTIFS(FMSTable[Employee Name (XLOOKUP)],G21,FMSTable[Status],"Completed")</f>
        <v>3</v>
      </c>
    </row>
    <row r="22" customFormat="false" ht="15" hidden="false" customHeight="false" outlineLevel="0" collapsed="false">
      <c r="G22" s="14" t="s">
        <v>36</v>
      </c>
      <c r="H22" s="13" t="n">
        <f aca="false">COUNTIFS(FMSTable[Employee Name (XLOOKUP)],G22,FMSTable[Status],"Completed")</f>
        <v>2</v>
      </c>
    </row>
    <row r="23" customFormat="false" ht="15" hidden="false" customHeight="false" outlineLevel="0" collapsed="false">
      <c r="G23" s="17" t="s">
        <v>37</v>
      </c>
      <c r="H23" s="16" t="n">
        <f aca="false">COUNTIFS(FMSTable[Employee Name (XLOOKUP)],G23,FMSTable[Status],"Completed")</f>
        <v>3</v>
      </c>
    </row>
    <row r="24" customFormat="false" ht="15" hidden="false" customHeight="false" outlineLevel="0" collapsed="false">
      <c r="G24" s="20" t="s">
        <v>26</v>
      </c>
      <c r="H24" s="19" t="n">
        <f aca="false">SUM(H14:H23)</f>
        <v>27</v>
      </c>
    </row>
  </sheetData>
  <mergeCells count="18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8:C8"/>
    <mergeCell ref="D8:F8"/>
    <mergeCell ref="G8:I8"/>
    <mergeCell ref="J8:L8"/>
    <mergeCell ref="A9:C10"/>
    <mergeCell ref="D9:F10"/>
    <mergeCell ref="G9:I10"/>
    <mergeCell ref="J9:L10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tru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7" min="6" style="0" width="24"/>
    <col collapsed="false" customWidth="true" hidden="false" outlineLevel="0" max="10" min="8" style="0" width="16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15</v>
      </c>
      <c r="B4" s="3"/>
      <c r="C4" s="3" t="s">
        <v>40</v>
      </c>
      <c r="D4" s="3"/>
      <c r="E4" s="3" t="s">
        <v>41</v>
      </c>
      <c r="F4" s="3"/>
      <c r="G4" s="3" t="s">
        <v>42</v>
      </c>
      <c r="H4" s="3"/>
      <c r="I4" s="3" t="s">
        <v>43</v>
      </c>
      <c r="J4" s="3"/>
    </row>
    <row r="5" customFormat="false" ht="15" hidden="false" customHeight="false" outlineLevel="0" collapsed="false">
      <c r="A5" s="5" t="n">
        <f aca="false">COUNTIF(FMSTable[Status],"Completed")</f>
        <v>27</v>
      </c>
      <c r="B5" s="5"/>
      <c r="C5" s="6" t="n">
        <f aca="false">COUNTIF(FMSTable[Status],"Pending")</f>
        <v>11</v>
      </c>
      <c r="D5" s="6"/>
      <c r="E5" s="4" t="n">
        <f aca="false">COUNTIF(FMSTable[Status],"In Progress")</f>
        <v>10</v>
      </c>
      <c r="F5" s="4"/>
      <c r="G5" s="21" t="n">
        <f aca="false">IFERROR(AVERAGE(FMSTable[TAT (Hours)]),0)</f>
        <v>7.32407407403096</v>
      </c>
      <c r="H5" s="21"/>
      <c r="I5" s="9" t="n">
        <f aca="false">COUNTIF(FMSTable[SLA Result],"Delayed")</f>
        <v>19</v>
      </c>
      <c r="J5" s="9"/>
    </row>
    <row r="6" customFormat="false" ht="15" hidden="false" customHeight="false" outlineLevel="0" collapsed="false">
      <c r="A6" s="5"/>
      <c r="B6" s="5"/>
      <c r="C6" s="6"/>
      <c r="D6" s="6"/>
      <c r="E6" s="4"/>
      <c r="F6" s="4"/>
      <c r="G6" s="21"/>
      <c r="H6" s="21"/>
      <c r="I6" s="9"/>
      <c r="J6" s="9"/>
    </row>
    <row r="9" customFormat="false" ht="31.5" hidden="false" customHeight="true" outlineLevel="0" collapsed="false">
      <c r="A9" s="11" t="s">
        <v>14</v>
      </c>
      <c r="B9" s="10" t="s">
        <v>44</v>
      </c>
      <c r="C9" s="10" t="s">
        <v>45</v>
      </c>
      <c r="D9" s="10" t="s">
        <v>46</v>
      </c>
    </row>
    <row r="10" customFormat="false" ht="15" hidden="false" customHeight="false" outlineLevel="0" collapsed="false">
      <c r="A10" s="14" t="s">
        <v>19</v>
      </c>
      <c r="B10" s="13" t="n">
        <f aca="false">COUNTIFS(FMSTable[Employee Name (XLOOKUP)],A10,FMSTable[Status],"Completed")</f>
        <v>3</v>
      </c>
      <c r="C10" s="22" t="n">
        <f aca="false">IFERROR(AVERAGEIFS(FMSTable[TAT (Hours)],FMSTable[Employee Name (XLOOKUP)],A10,FMSTable[Status],"Completed"),0)</f>
        <v>5</v>
      </c>
      <c r="D10" s="13" t="n">
        <f aca="false">COUNTIFS(FMSTable[Employee Name (XLOOKUP)],A10,FMSTable[SLA Result],"Within SLA")</f>
        <v>1</v>
      </c>
    </row>
    <row r="11" customFormat="false" ht="15" hidden="false" customHeight="false" outlineLevel="0" collapsed="false">
      <c r="A11" s="17" t="s">
        <v>23</v>
      </c>
      <c r="B11" s="16" t="n">
        <f aca="false">COUNTIFS(FMSTable[Employee Name (XLOOKUP)],A11,FMSTable[Status],"Completed")</f>
        <v>2</v>
      </c>
      <c r="C11" s="23" t="n">
        <f aca="false">IFERROR(AVERAGEIFS(FMSTable[TAT (Hours)],FMSTable[Employee Name (XLOOKUP)],A11,FMSTable[Status],"Completed"),0)</f>
        <v>7.49999999965075</v>
      </c>
      <c r="D11" s="16" t="n">
        <f aca="false">COUNTIFS(FMSTable[Employee Name (XLOOKUP)],A11,FMSTable[SLA Result],"Within SLA")</f>
        <v>0</v>
      </c>
    </row>
    <row r="12" customFormat="false" ht="15" hidden="false" customHeight="false" outlineLevel="0" collapsed="false">
      <c r="A12" s="14" t="s">
        <v>27</v>
      </c>
      <c r="B12" s="13" t="n">
        <f aca="false">COUNTIFS(FMSTable[Employee Name (XLOOKUP)],A12,FMSTable[Status],"Completed")</f>
        <v>3</v>
      </c>
      <c r="C12" s="22" t="n">
        <f aca="false">IFERROR(AVERAGEIFS(FMSTable[TAT (Hours)],FMSTable[Employee Name (XLOOKUP)],A12,FMSTable[Status],"Completed"),0)</f>
        <v>6.41666666697711</v>
      </c>
      <c r="D12" s="13" t="n">
        <f aca="false">COUNTIFS(FMSTable[Employee Name (XLOOKUP)],A12,FMSTable[SLA Result],"Within SLA")</f>
        <v>1</v>
      </c>
    </row>
    <row r="13" customFormat="false" ht="15" hidden="false" customHeight="false" outlineLevel="0" collapsed="false">
      <c r="A13" s="17" t="s">
        <v>30</v>
      </c>
      <c r="B13" s="16" t="n">
        <f aca="false">COUNTIFS(FMSTable[Employee Name (XLOOKUP)],A13,FMSTable[Status],"Completed")</f>
        <v>2</v>
      </c>
      <c r="C13" s="23" t="n">
        <f aca="false">IFERROR(AVERAGEIFS(FMSTable[TAT (Hours)],FMSTable[Employee Name (XLOOKUP)],A13,FMSTable[Status],"Completed"),0)</f>
        <v>12.9999999997672</v>
      </c>
      <c r="D13" s="16" t="n">
        <f aca="false">COUNTIFS(FMSTable[Employee Name (XLOOKUP)],A13,FMSTable[SLA Result],"Within SLA")</f>
        <v>0</v>
      </c>
    </row>
    <row r="14" customFormat="false" ht="15" hidden="false" customHeight="false" outlineLevel="0" collapsed="false">
      <c r="A14" s="14" t="s">
        <v>32</v>
      </c>
      <c r="B14" s="13" t="n">
        <f aca="false">COUNTIFS(FMSTable[Employee Name (XLOOKUP)],A14,FMSTable[Status],"Completed")</f>
        <v>4</v>
      </c>
      <c r="C14" s="22" t="n">
        <f aca="false">IFERROR(AVERAGEIFS(FMSTable[TAT (Hours)],FMSTable[Employee Name (XLOOKUP)],A14,FMSTable[Status],"Completed"),0)</f>
        <v>10.6249999998836</v>
      </c>
      <c r="D14" s="13" t="n">
        <f aca="false">COUNTIFS(FMSTable[Employee Name (XLOOKUP)],A14,FMSTable[SLA Result],"Within SLA")</f>
        <v>1</v>
      </c>
    </row>
    <row r="15" customFormat="false" ht="15" hidden="false" customHeight="false" outlineLevel="0" collapsed="false">
      <c r="A15" s="17" t="s">
        <v>33</v>
      </c>
      <c r="B15" s="16" t="n">
        <f aca="false">COUNTIFS(FMSTable[Employee Name (XLOOKUP)],A15,FMSTable[Status],"Completed")</f>
        <v>2</v>
      </c>
      <c r="C15" s="23" t="n">
        <f aca="false">IFERROR(AVERAGEIFS(FMSTable[TAT (Hours)],FMSTable[Employee Name (XLOOKUP)],A15,FMSTable[Status],"Completed"),0)</f>
        <v>3.12499999988358</v>
      </c>
      <c r="D15" s="16" t="n">
        <f aca="false">COUNTIFS(FMSTable[Employee Name (XLOOKUP)],A15,FMSTable[SLA Result],"Within SLA")</f>
        <v>1</v>
      </c>
    </row>
    <row r="16" customFormat="false" ht="15" hidden="false" customHeight="false" outlineLevel="0" collapsed="false">
      <c r="A16" s="14" t="s">
        <v>34</v>
      </c>
      <c r="B16" s="13" t="n">
        <f aca="false">COUNTIFS(FMSTable[Employee Name (XLOOKUP)],A16,FMSTable[Status],"Completed")</f>
        <v>3</v>
      </c>
      <c r="C16" s="22" t="n">
        <f aca="false">IFERROR(AVERAGEIFS(FMSTable[TAT (Hours)],FMSTable[Employee Name (XLOOKUP)],A16,FMSTable[Status],"Completed"),0)</f>
        <v>3.5</v>
      </c>
      <c r="D16" s="13" t="n">
        <f aca="false">COUNTIFS(FMSTable[Employee Name (XLOOKUP)],A16,FMSTable[SLA Result],"Within SLA")</f>
        <v>2</v>
      </c>
    </row>
    <row r="17" customFormat="false" ht="15" hidden="false" customHeight="false" outlineLevel="0" collapsed="false">
      <c r="A17" s="17" t="s">
        <v>35</v>
      </c>
      <c r="B17" s="16" t="n">
        <f aca="false">COUNTIFS(FMSTable[Employee Name (XLOOKUP)],A17,FMSTable[Status],"Completed")</f>
        <v>3</v>
      </c>
      <c r="C17" s="23" t="n">
        <f aca="false">IFERROR(AVERAGEIFS(FMSTable[TAT (Hours)],FMSTable[Employee Name (XLOOKUP)],A17,FMSTable[Status],"Completed"),0)</f>
        <v>11.3333333332557</v>
      </c>
      <c r="D17" s="16" t="n">
        <f aca="false">COUNTIFS(FMSTable[Employee Name (XLOOKUP)],A17,FMSTable[SLA Result],"Within SLA")</f>
        <v>0</v>
      </c>
    </row>
    <row r="18" customFormat="false" ht="15" hidden="false" customHeight="false" outlineLevel="0" collapsed="false">
      <c r="A18" s="14" t="s">
        <v>36</v>
      </c>
      <c r="B18" s="13" t="n">
        <f aca="false">COUNTIFS(FMSTable[Employee Name (XLOOKUP)],A18,FMSTable[Status],"Completed")</f>
        <v>2</v>
      </c>
      <c r="C18" s="22" t="n">
        <f aca="false">IFERROR(AVERAGEIFS(FMSTable[TAT (Hours)],FMSTable[Employee Name (XLOOKUP)],A18,FMSTable[Status],"Completed"),0)</f>
        <v>4.99999999988359</v>
      </c>
      <c r="D18" s="13" t="n">
        <f aca="false">COUNTIFS(FMSTable[Employee Name (XLOOKUP)],A18,FMSTable[SLA Result],"Within SLA")</f>
        <v>1</v>
      </c>
    </row>
    <row r="19" customFormat="false" ht="15" hidden="false" customHeight="false" outlineLevel="0" collapsed="false">
      <c r="A19" s="17" t="s">
        <v>37</v>
      </c>
      <c r="B19" s="16" t="n">
        <f aca="false">COUNTIFS(FMSTable[Employee Name (XLOOKUP)],A19,FMSTable[Status],"Completed")</f>
        <v>3</v>
      </c>
      <c r="C19" s="23" t="n">
        <f aca="false">IFERROR(AVERAGEIFS(FMSTable[TAT (Hours)],FMSTable[Employee Name (XLOOKUP)],A19,FMSTable[Status],"Completed"),0)</f>
        <v>6.41666666674428</v>
      </c>
      <c r="D19" s="16" t="n">
        <f aca="false">COUNTIFS(FMSTable[Employee Name (XLOOKUP)],A19,FMSTable[SLA Result],"Within SLA")</f>
        <v>1</v>
      </c>
    </row>
    <row r="20" customFormat="false" ht="15" hidden="false" customHeight="false" outlineLevel="0" collapsed="false">
      <c r="A20" s="20" t="s">
        <v>47</v>
      </c>
      <c r="B20" s="19" t="n">
        <f aca="false">SUM(B10:B19)</f>
        <v>27</v>
      </c>
      <c r="C20" s="24" t="n">
        <f aca="false">IFERROR(AVERAGE(FMSTable[TAT (Hours)]),0)</f>
        <v>7.32407407403096</v>
      </c>
      <c r="D20" s="19" t="n">
        <f aca="false">SUM(D10:D19)</f>
        <v>8</v>
      </c>
    </row>
    <row r="24" customFormat="false" ht="15" hidden="false" customHeight="false" outlineLevel="0" collapsed="false">
      <c r="A24" s="25" t="s">
        <v>48</v>
      </c>
      <c r="B24" s="25"/>
      <c r="C24" s="25"/>
      <c r="D24" s="25"/>
      <c r="E24" s="25"/>
      <c r="F24" s="25"/>
      <c r="G24" s="25"/>
      <c r="H24" s="25"/>
      <c r="I24" s="25"/>
      <c r="J24" s="25"/>
    </row>
    <row r="25" customFormat="false" ht="15" hidden="false" customHeight="false" outlineLevel="0" collapsed="false">
      <c r="A25" s="10" t="s">
        <v>49</v>
      </c>
      <c r="B25" s="10" t="s">
        <v>50</v>
      </c>
      <c r="C25" s="10" t="s">
        <v>51</v>
      </c>
      <c r="D25" s="11" t="s">
        <v>52</v>
      </c>
      <c r="E25" s="11" t="s">
        <v>53</v>
      </c>
      <c r="F25" s="10" t="s">
        <v>54</v>
      </c>
      <c r="G25" s="10" t="s">
        <v>55</v>
      </c>
      <c r="H25" s="10" t="s">
        <v>56</v>
      </c>
      <c r="I25" s="10" t="s">
        <v>57</v>
      </c>
      <c r="J25" s="10" t="s">
        <v>58</v>
      </c>
    </row>
    <row r="26" customFormat="false" ht="15" hidden="false" customHeight="false" outlineLevel="0" collapsed="false">
      <c r="A26" s="12" t="str">
        <f aca="false">'Raw Data'!A5</f>
        <v>FMS0001</v>
      </c>
      <c r="B26" s="26" t="n">
        <f aca="false">'Raw Data'!B5</f>
        <v>46311</v>
      </c>
      <c r="C26" s="12" t="str">
        <f aca="false">'Raw Data'!C5</f>
        <v>E004</v>
      </c>
      <c r="D26" s="14" t="str">
        <f aca="false">'Raw Data'!D5</f>
        <v>Meera Singh</v>
      </c>
      <c r="E26" s="14" t="str">
        <f aca="false">'Raw Data'!E5</f>
        <v>Site Visit</v>
      </c>
      <c r="F26" s="27" t="n">
        <f aca="false">'Raw Data'!F5</f>
        <v>46311.3645833333</v>
      </c>
      <c r="G26" s="27" t="n">
        <f aca="false">'Raw Data'!G5</f>
        <v>46311.90625</v>
      </c>
      <c r="H26" s="12" t="str">
        <f aca="false">'Raw Data'!H5</f>
        <v>Completed</v>
      </c>
      <c r="I26" s="28" t="n">
        <f aca="false">'Raw Data'!I5</f>
        <v>12.9999999997672</v>
      </c>
      <c r="J26" s="29" t="str">
        <f aca="false">'Raw Data'!J5</f>
        <v>Delayed</v>
      </c>
    </row>
    <row r="27" customFormat="false" ht="15" hidden="false" customHeight="false" outlineLevel="0" collapsed="false">
      <c r="A27" s="15" t="str">
        <f aca="false">'Raw Data'!A7</f>
        <v>FMS0003</v>
      </c>
      <c r="B27" s="30" t="n">
        <f aca="false">'Raw Data'!B7</f>
        <v>46309</v>
      </c>
      <c r="C27" s="15" t="str">
        <f aca="false">'Raw Data'!C7</f>
        <v>E010</v>
      </c>
      <c r="D27" s="17" t="str">
        <f aca="false">'Raw Data'!D7</f>
        <v>Ira Nair</v>
      </c>
      <c r="E27" s="17" t="str">
        <f aca="false">'Raw Data'!E7</f>
        <v>Customer Follow-up</v>
      </c>
      <c r="F27" s="31" t="n">
        <f aca="false">'Raw Data'!F7</f>
        <v>46309.8854166667</v>
      </c>
      <c r="G27" s="31" t="n">
        <f aca="false">'Raw Data'!G7</f>
        <v>46309.9375</v>
      </c>
      <c r="H27" s="15" t="str">
        <f aca="false">'Raw Data'!H7</f>
        <v>Completed</v>
      </c>
      <c r="I27" s="32" t="n">
        <f aca="false">'Raw Data'!I7</f>
        <v>1.25000000023283</v>
      </c>
      <c r="J27" s="33" t="str">
        <f aca="false">'Raw Data'!J7</f>
        <v>Within SLA</v>
      </c>
    </row>
    <row r="28" customFormat="false" ht="15" hidden="false" customHeight="false" outlineLevel="0" collapsed="false">
      <c r="A28" s="12" t="str">
        <f aca="false">'Raw Data'!A8</f>
        <v>FMS0004</v>
      </c>
      <c r="B28" s="26" t="n">
        <f aca="false">'Raw Data'!B8</f>
        <v>46271</v>
      </c>
      <c r="C28" s="12" t="str">
        <f aca="false">'Raw Data'!C8</f>
        <v>E003</v>
      </c>
      <c r="D28" s="14" t="str">
        <f aca="false">'Raw Data'!D8</f>
        <v>Kabir Patel</v>
      </c>
      <c r="E28" s="14" t="str">
        <f aca="false">'Raw Data'!E8</f>
        <v>Delivery Verification</v>
      </c>
      <c r="F28" s="27" t="n">
        <f aca="false">'Raw Data'!F8</f>
        <v>46271.8854166667</v>
      </c>
      <c r="G28" s="27" t="n">
        <f aca="false">'Raw Data'!G8</f>
        <v>46272.21875</v>
      </c>
      <c r="H28" s="12" t="str">
        <f aca="false">'Raw Data'!H8</f>
        <v>Completed</v>
      </c>
      <c r="I28" s="28" t="n">
        <f aca="false">'Raw Data'!I8</f>
        <v>8.00000000023283</v>
      </c>
      <c r="J28" s="29" t="str">
        <f aca="false">'Raw Data'!J8</f>
        <v>Delayed</v>
      </c>
    </row>
    <row r="29" customFormat="false" ht="15" hidden="false" customHeight="false" outlineLevel="0" collapsed="false">
      <c r="A29" s="15" t="str">
        <f aca="false">'Raw Data'!A12</f>
        <v>FMS0008</v>
      </c>
      <c r="B29" s="30" t="n">
        <f aca="false">'Raw Data'!B12</f>
        <v>46306</v>
      </c>
      <c r="C29" s="15" t="str">
        <f aca="false">'Raw Data'!C12</f>
        <v>E005</v>
      </c>
      <c r="D29" s="17" t="str">
        <f aca="false">'Raw Data'!D12</f>
        <v>Ishaan Gupta</v>
      </c>
      <c r="E29" s="17" t="str">
        <f aca="false">'Raw Data'!E12</f>
        <v>Stock Audit</v>
      </c>
      <c r="F29" s="31" t="n">
        <f aca="false">'Raw Data'!F12</f>
        <v>46306.7708333333</v>
      </c>
      <c r="G29" s="31" t="n">
        <f aca="false">'Raw Data'!G12</f>
        <v>46307.3125</v>
      </c>
      <c r="H29" s="15" t="str">
        <f aca="false">'Raw Data'!H12</f>
        <v>Completed</v>
      </c>
      <c r="I29" s="32" t="n">
        <f aca="false">'Raw Data'!I12</f>
        <v>12.9999999997672</v>
      </c>
      <c r="J29" s="33" t="str">
        <f aca="false">'Raw Data'!J12</f>
        <v>Delayed</v>
      </c>
    </row>
    <row r="30" customFormat="false" ht="15" hidden="false" customHeight="false" outlineLevel="0" collapsed="false">
      <c r="A30" s="12" t="str">
        <f aca="false">'Raw Data'!A20</f>
        <v>FMS0016</v>
      </c>
      <c r="B30" s="26" t="n">
        <f aca="false">'Raw Data'!B20</f>
        <v>46267</v>
      </c>
      <c r="C30" s="12" t="str">
        <f aca="false">'Raw Data'!C20</f>
        <v>E009</v>
      </c>
      <c r="D30" s="14" t="str">
        <f aca="false">'Raw Data'!D20</f>
        <v>Vivaan Joshi</v>
      </c>
      <c r="E30" s="14" t="str">
        <f aca="false">'Raw Data'!E20</f>
        <v>Delivery Verification</v>
      </c>
      <c r="F30" s="27" t="n">
        <f aca="false">'Raw Data'!F20</f>
        <v>46267.6770833333</v>
      </c>
      <c r="G30" s="27" t="n">
        <f aca="false">'Raw Data'!G20</f>
        <v>46268.0104166667</v>
      </c>
      <c r="H30" s="12" t="str">
        <f aca="false">'Raw Data'!H20</f>
        <v>Completed</v>
      </c>
      <c r="I30" s="28" t="n">
        <f aca="false">'Raw Data'!I20</f>
        <v>7.99999999953434</v>
      </c>
      <c r="J30" s="29" t="str">
        <f aca="false">'Raw Data'!J20</f>
        <v>Delayed</v>
      </c>
    </row>
    <row r="31" customFormat="false" ht="15" hidden="false" customHeight="false" outlineLevel="0" collapsed="false">
      <c r="A31" s="15" t="str">
        <f aca="false">'Raw Data'!A21</f>
        <v>FMS0017</v>
      </c>
      <c r="B31" s="30" t="n">
        <f aca="false">'Raw Data'!B21</f>
        <v>46301</v>
      </c>
      <c r="C31" s="15" t="str">
        <f aca="false">'Raw Data'!C21</f>
        <v>E002</v>
      </c>
      <c r="D31" s="17" t="str">
        <f aca="false">'Raw Data'!D21</f>
        <v>Diya Verma</v>
      </c>
      <c r="E31" s="17" t="str">
        <f aca="false">'Raw Data'!E21</f>
        <v>Document Collection</v>
      </c>
      <c r="F31" s="31" t="n">
        <f aca="false">'Raw Data'!F21</f>
        <v>46301.8125</v>
      </c>
      <c r="G31" s="31" t="n">
        <f aca="false">'Raw Data'!G21</f>
        <v>46302.2291666667</v>
      </c>
      <c r="H31" s="15" t="str">
        <f aca="false">'Raw Data'!H21</f>
        <v>Completed</v>
      </c>
      <c r="I31" s="32" t="n">
        <f aca="false">'Raw Data'!I21</f>
        <v>9.99999999976717</v>
      </c>
      <c r="J31" s="33" t="str">
        <f aca="false">'Raw Data'!J21</f>
        <v>Delayed</v>
      </c>
    </row>
    <row r="32" customFormat="false" ht="15" hidden="false" customHeight="false" outlineLevel="0" collapsed="false">
      <c r="A32" s="12" t="str">
        <f aca="false">'Raw Data'!A22</f>
        <v>FMS0018</v>
      </c>
      <c r="B32" s="26" t="n">
        <f aca="false">'Raw Data'!B22</f>
        <v>46260</v>
      </c>
      <c r="C32" s="12" t="str">
        <f aca="false">'Raw Data'!C22</f>
        <v>E005</v>
      </c>
      <c r="D32" s="14" t="str">
        <f aca="false">'Raw Data'!D22</f>
        <v>Ishaan Gupta</v>
      </c>
      <c r="E32" s="14" t="str">
        <f aca="false">'Raw Data'!E22</f>
        <v>Quality Check</v>
      </c>
      <c r="F32" s="27" t="n">
        <f aca="false">'Raw Data'!F22</f>
        <v>46260.53125</v>
      </c>
      <c r="G32" s="27" t="n">
        <f aca="false">'Raw Data'!G22</f>
        <v>46261.0729166667</v>
      </c>
      <c r="H32" s="12" t="str">
        <f aca="false">'Raw Data'!H22</f>
        <v>Completed</v>
      </c>
      <c r="I32" s="28" t="n">
        <f aca="false">'Raw Data'!I22</f>
        <v>12.9999999997672</v>
      </c>
      <c r="J32" s="29" t="str">
        <f aca="false">'Raw Data'!J22</f>
        <v>Delayed</v>
      </c>
    </row>
    <row r="33" customFormat="false" ht="15" hidden="false" customHeight="false" outlineLevel="0" collapsed="false">
      <c r="A33" s="15" t="str">
        <f aca="false">'Raw Data'!A27</f>
        <v>FMS0023</v>
      </c>
      <c r="B33" s="30" t="n">
        <f aca="false">'Raw Data'!B27</f>
        <v>46310</v>
      </c>
      <c r="C33" s="15" t="str">
        <f aca="false">'Raw Data'!C27</f>
        <v>E010</v>
      </c>
      <c r="D33" s="17" t="str">
        <f aca="false">'Raw Data'!D27</f>
        <v>Ira Nair</v>
      </c>
      <c r="E33" s="17" t="str">
        <f aca="false">'Raw Data'!E27</f>
        <v>Document Collection</v>
      </c>
      <c r="F33" s="31" t="n">
        <f aca="false">'Raw Data'!F27</f>
        <v>46310.9270833333</v>
      </c>
      <c r="G33" s="31" t="n">
        <f aca="false">'Raw Data'!G27</f>
        <v>46311.46875</v>
      </c>
      <c r="H33" s="15" t="str">
        <f aca="false">'Raw Data'!H27</f>
        <v>Completed</v>
      </c>
      <c r="I33" s="32" t="n">
        <f aca="false">'Raw Data'!I27</f>
        <v>12.9999999997672</v>
      </c>
      <c r="J33" s="33" t="str">
        <f aca="false">'Raw Data'!J27</f>
        <v>Delayed</v>
      </c>
    </row>
    <row r="34" customFormat="false" ht="15" hidden="false" customHeight="false" outlineLevel="0" collapsed="false">
      <c r="A34" s="12" t="str">
        <f aca="false">'Raw Data'!A42</f>
        <v>FMS0038</v>
      </c>
      <c r="B34" s="26" t="n">
        <f aca="false">'Raw Data'!B42</f>
        <v>46307</v>
      </c>
      <c r="C34" s="12" t="str">
        <f aca="false">'Raw Data'!C42</f>
        <v>E005</v>
      </c>
      <c r="D34" s="14" t="str">
        <f aca="false">'Raw Data'!D42</f>
        <v>Ishaan Gupta</v>
      </c>
      <c r="E34" s="14" t="str">
        <f aca="false">'Raw Data'!E42</f>
        <v>Stock Audit</v>
      </c>
      <c r="F34" s="27" t="n">
        <f aca="false">'Raw Data'!F42</f>
        <v>46307.9375</v>
      </c>
      <c r="G34" s="27" t="n">
        <f aca="false">'Raw Data'!G42</f>
        <v>46308.0833333333</v>
      </c>
      <c r="H34" s="12" t="str">
        <f aca="false">'Raw Data'!H42</f>
        <v>Completed</v>
      </c>
      <c r="I34" s="28" t="n">
        <f aca="false">'Raw Data'!I42</f>
        <v>3.50000000023283</v>
      </c>
      <c r="J34" s="29" t="str">
        <f aca="false">'Raw Data'!J42</f>
        <v>Within SLA</v>
      </c>
    </row>
    <row r="35" customFormat="false" ht="15" hidden="false" customHeight="false" outlineLevel="0" collapsed="false">
      <c r="A35" s="15" t="str">
        <f aca="false">'Raw Data'!A53</f>
        <v>FMS0049</v>
      </c>
      <c r="B35" s="30" t="n">
        <f aca="false">'Raw Data'!B53</f>
        <v>46314</v>
      </c>
      <c r="C35" s="15" t="str">
        <f aca="false">'Raw Data'!C53</f>
        <v>E008</v>
      </c>
      <c r="D35" s="17" t="str">
        <f aca="false">'Raw Data'!D53</f>
        <v>Sana Khan</v>
      </c>
      <c r="E35" s="17" t="str">
        <f aca="false">'Raw Data'!E53</f>
        <v>Site Visit</v>
      </c>
      <c r="F35" s="31" t="n">
        <f aca="false">'Raw Data'!F53</f>
        <v>46314.5208333333</v>
      </c>
      <c r="G35" s="31" t="n">
        <f aca="false">'Raw Data'!G53</f>
        <v>46315.0625</v>
      </c>
      <c r="H35" s="15" t="str">
        <f aca="false">'Raw Data'!H53</f>
        <v>Completed</v>
      </c>
      <c r="I35" s="32" t="n">
        <f aca="false">'Raw Data'!I53</f>
        <v>12.9999999997672</v>
      </c>
      <c r="J35" s="33" t="str">
        <f aca="false">'Raw Data'!J53</f>
        <v>Delayed</v>
      </c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</row>
  </sheetData>
  <mergeCells count="13">
    <mergeCell ref="A1:J1"/>
    <mergeCell ref="A2:J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  <mergeCell ref="A24:J24"/>
  </mergeCells>
  <conditionalFormatting sqref="J26:J35">
    <cfRule type="expression" priority="2" aboveAverage="0" equalAverage="0" bottom="0" percent="0" rank="0" text="" dxfId="0">
      <formula>$J26="Delayed"</formula>
    </cfRule>
    <cfRule type="expression" priority="3" aboveAverage="0" equalAverage="0" bottom="0" percent="0" rank="0" text="" dxfId="1">
      <formula>$J26="Within SLA"</formula>
    </cfRule>
  </conditionalFormatting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pageSetUpPr fitToPage="tru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8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2" min="11" style="0" width="13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customFormat="false" ht="15" hidden="false" customHeight="false" outlineLevel="0" collapsed="false">
      <c r="A4" s="3" t="s">
        <v>61</v>
      </c>
      <c r="B4" s="3"/>
      <c r="C4" s="3" t="s">
        <v>62</v>
      </c>
      <c r="D4" s="3"/>
      <c r="E4" s="3" t="s">
        <v>63</v>
      </c>
      <c r="F4" s="3"/>
      <c r="G4" s="3" t="s">
        <v>64</v>
      </c>
      <c r="H4" s="3"/>
      <c r="I4" s="3" t="s">
        <v>65</v>
      </c>
      <c r="J4" s="3"/>
      <c r="K4" s="3" t="s">
        <v>66</v>
      </c>
      <c r="L4" s="3"/>
    </row>
    <row r="5" customFormat="false" ht="15" hidden="false" customHeight="false" outlineLevel="0" collapsed="false">
      <c r="A5" s="5" t="n">
        <f aca="false">COUNTIF(ChecklistTable[Task Status],"Completed")</f>
        <v>44</v>
      </c>
      <c r="B5" s="5"/>
      <c r="C5" s="6" t="n">
        <f aca="false">COUNTIF(ChecklistTable[Compliance Status],"Pending")</f>
        <v>10</v>
      </c>
      <c r="D5" s="6"/>
      <c r="E5" s="9" t="n">
        <f aca="false">COUNTIF(ChecklistTable[Compliance Status],"Overdue")</f>
        <v>16</v>
      </c>
      <c r="F5" s="9"/>
      <c r="G5" s="9" t="n">
        <f aca="false">COUNTIF(ChecklistTable[Compliance Status],"Delayed")</f>
        <v>14</v>
      </c>
      <c r="H5" s="9"/>
      <c r="I5" s="35" t="n">
        <f aca="false">IFERROR(COUNTIF(ChecklistTable[Task Status],"Completed")/COUNTA(ChecklistTable[Task ID]),0)</f>
        <v>0.628571428571429</v>
      </c>
      <c r="J5" s="35"/>
      <c r="K5" s="36" t="n">
        <f aca="false">IFERROR(COUNTIF(ChecklistTable[Compliance Status],"On Time")/COUNTIF(ChecklistTable[Task Status],"Completed"),0)</f>
        <v>0.681818181818182</v>
      </c>
      <c r="L5" s="36"/>
    </row>
    <row r="6" customFormat="false" ht="15" hidden="false" customHeight="false" outlineLevel="0" collapsed="false">
      <c r="A6" s="5"/>
      <c r="B6" s="5"/>
      <c r="C6" s="6"/>
      <c r="D6" s="6"/>
      <c r="E6" s="9"/>
      <c r="F6" s="9"/>
      <c r="G6" s="9"/>
      <c r="H6" s="9"/>
      <c r="I6" s="35"/>
      <c r="J6" s="35"/>
      <c r="K6" s="36"/>
      <c r="L6" s="36"/>
    </row>
    <row r="7" customFormat="false" ht="15" hidden="false" customHeight="fals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customFormat="false" ht="15" hidden="false" customHeight="false" outlineLevel="0" collapsed="false">
      <c r="A8" s="25" t="s">
        <v>67</v>
      </c>
      <c r="B8" s="25"/>
      <c r="C8" s="25"/>
      <c r="D8" s="34"/>
      <c r="E8" s="34"/>
      <c r="F8" s="34"/>
      <c r="G8" s="34"/>
      <c r="H8" s="34"/>
      <c r="I8" s="34"/>
      <c r="J8" s="34"/>
      <c r="K8" s="34"/>
      <c r="L8" s="34"/>
    </row>
    <row r="9" customFormat="false" ht="15" hidden="false" customHeight="false" outlineLevel="0" collapsed="false">
      <c r="A9" s="37" t="s">
        <v>68</v>
      </c>
      <c r="B9" s="10" t="s">
        <v>69</v>
      </c>
      <c r="C9" s="10" t="s">
        <v>70</v>
      </c>
      <c r="D9" s="34"/>
      <c r="E9" s="34"/>
      <c r="F9" s="34"/>
      <c r="G9" s="34"/>
      <c r="H9" s="34"/>
      <c r="I9" s="34"/>
      <c r="J9" s="34"/>
      <c r="K9" s="34"/>
      <c r="L9" s="34"/>
    </row>
    <row r="10" customFormat="false" ht="15" hidden="false" customHeight="false" outlineLevel="0" collapsed="false">
      <c r="A10" s="12" t="s">
        <v>20</v>
      </c>
      <c r="B10" s="13" t="n">
        <f aca="false">COUNTIF(ChecklistTable[Compliance Status],A10)</f>
        <v>30</v>
      </c>
      <c r="C10" s="38" t="n">
        <f aca="false">IFERROR(B10/$B$14,0)</f>
        <v>0.428571428571429</v>
      </c>
      <c r="D10" s="34"/>
      <c r="E10" s="34"/>
      <c r="F10" s="34"/>
      <c r="G10" s="34"/>
      <c r="H10" s="34"/>
      <c r="I10" s="34"/>
      <c r="J10" s="34"/>
      <c r="K10" s="34"/>
      <c r="L10" s="34"/>
    </row>
    <row r="11" customFormat="false" ht="15" hidden="false" customHeight="false" outlineLevel="0" collapsed="false">
      <c r="A11" s="15" t="s">
        <v>24</v>
      </c>
      <c r="B11" s="16" t="n">
        <f aca="false">COUNTIF(ChecklistTable[Compliance Status],A11)</f>
        <v>14</v>
      </c>
      <c r="C11" s="39" t="n">
        <f aca="false">IFERROR(B11/$B$14,0)</f>
        <v>0.2</v>
      </c>
      <c r="D11" s="34"/>
      <c r="E11" s="34"/>
      <c r="F11" s="34"/>
      <c r="G11" s="34"/>
      <c r="H11" s="34"/>
      <c r="I11" s="34"/>
      <c r="J11" s="34"/>
      <c r="K11" s="34"/>
      <c r="L11" s="34"/>
    </row>
    <row r="12" customFormat="false" ht="31.5" hidden="false" customHeight="true" outlineLevel="0" collapsed="false">
      <c r="A12" s="12" t="s">
        <v>28</v>
      </c>
      <c r="B12" s="13" t="n">
        <f aca="false">COUNTIF(ChecklistTable[Compliance Status],A12)</f>
        <v>16</v>
      </c>
      <c r="C12" s="38" t="n">
        <f aca="false">IFERROR(B12/$B$14,0)</f>
        <v>0.228571428571429</v>
      </c>
      <c r="D12" s="34"/>
      <c r="E12" s="34"/>
      <c r="F12" s="34"/>
      <c r="G12" s="34"/>
      <c r="H12" s="34"/>
      <c r="I12" s="34"/>
      <c r="J12" s="34"/>
      <c r="K12" s="34"/>
      <c r="L12" s="34"/>
    </row>
    <row r="13" customFormat="false" ht="15" hidden="false" customHeight="false" outlineLevel="0" collapsed="false">
      <c r="A13" s="15" t="s">
        <v>21</v>
      </c>
      <c r="B13" s="16" t="n">
        <f aca="false">COUNTIF(ChecklistTable[Compliance Status],A13)</f>
        <v>10</v>
      </c>
      <c r="C13" s="39" t="n">
        <f aca="false">IFERROR(B13/$B$14,0)</f>
        <v>0.142857142857143</v>
      </c>
      <c r="D13" s="34"/>
      <c r="E13" s="34"/>
      <c r="F13" s="34"/>
      <c r="G13" s="34"/>
      <c r="H13" s="34"/>
      <c r="I13" s="34"/>
      <c r="J13" s="34"/>
      <c r="K13" s="34"/>
      <c r="L13" s="34"/>
    </row>
    <row r="14" customFormat="false" ht="15" hidden="false" customHeight="false" outlineLevel="0" collapsed="false">
      <c r="A14" s="18" t="s">
        <v>26</v>
      </c>
      <c r="B14" s="19" t="n">
        <f aca="false">SUM(B10:B13)</f>
        <v>70</v>
      </c>
      <c r="C14" s="40" t="n">
        <f aca="false">SUM(C10:C13)</f>
        <v>1</v>
      </c>
      <c r="D14" s="34"/>
      <c r="E14" s="34"/>
      <c r="F14" s="34"/>
      <c r="G14" s="34"/>
      <c r="H14" s="34"/>
      <c r="I14" s="34"/>
      <c r="J14" s="34"/>
      <c r="K14" s="34"/>
      <c r="L14" s="34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customFormat="false" ht="15" hidden="false" customHeight="false" outlineLevel="0" collapsed="false">
      <c r="A23" s="25" t="s">
        <v>71</v>
      </c>
      <c r="B23" s="25"/>
      <c r="C23" s="25"/>
      <c r="D23" s="25"/>
      <c r="E23" s="25"/>
      <c r="F23" s="25"/>
      <c r="G23" s="25"/>
      <c r="H23" s="34"/>
      <c r="I23" s="34"/>
      <c r="J23" s="34"/>
      <c r="K23" s="34"/>
      <c r="L23" s="34"/>
    </row>
    <row r="24" customFormat="false" ht="15" hidden="false" customHeight="false" outlineLevel="0" collapsed="false">
      <c r="A24" s="11" t="s">
        <v>52</v>
      </c>
      <c r="B24" s="10" t="s">
        <v>72</v>
      </c>
      <c r="C24" s="10" t="s">
        <v>44</v>
      </c>
      <c r="D24" s="10" t="s">
        <v>20</v>
      </c>
      <c r="E24" s="10" t="s">
        <v>24</v>
      </c>
      <c r="F24" s="10" t="s">
        <v>28</v>
      </c>
      <c r="G24" s="10" t="s">
        <v>73</v>
      </c>
      <c r="H24" s="34"/>
      <c r="I24" s="34"/>
      <c r="J24" s="34"/>
      <c r="K24" s="34"/>
      <c r="L24" s="34"/>
    </row>
    <row r="25" customFormat="false" ht="15" hidden="false" customHeight="false" outlineLevel="0" collapsed="false">
      <c r="A25" s="17" t="s">
        <v>19</v>
      </c>
      <c r="B25" s="16" t="n">
        <f aca="false">COUNTIF(ChecklistTable[Employee Name (XLOOKUP)],A25)</f>
        <v>7</v>
      </c>
      <c r="C25" s="16" t="n">
        <f aca="false">COUNTIFS(ChecklistTable[Employee Name (XLOOKUP)],A25,ChecklistTable[Task Status],"Completed")</f>
        <v>5</v>
      </c>
      <c r="D25" s="16" t="n">
        <f aca="false">COUNTIFS(ChecklistTable[Employee Name (XLOOKUP)],A25,ChecklistTable[Compliance Status],"On Time")</f>
        <v>3</v>
      </c>
      <c r="E25" s="16" t="n">
        <f aca="false">COUNTIFS(ChecklistTable[Employee Name (XLOOKUP)],A25,ChecklistTable[Compliance Status],"Delayed")</f>
        <v>2</v>
      </c>
      <c r="F25" s="16" t="n">
        <f aca="false">COUNTIFS(ChecklistTable[Employee Name (XLOOKUP)],A25,ChecklistTable[Compliance Status],"Overdue")</f>
        <v>2</v>
      </c>
      <c r="G25" s="39" t="n">
        <f aca="false">IFERROR(D25/C25,0)</f>
        <v>0.6</v>
      </c>
      <c r="H25" s="34"/>
      <c r="I25" s="34"/>
      <c r="J25" s="34"/>
      <c r="K25" s="34"/>
      <c r="L25" s="34"/>
    </row>
    <row r="26" customFormat="false" ht="15" hidden="false" customHeight="false" outlineLevel="0" collapsed="false">
      <c r="A26" s="14" t="s">
        <v>23</v>
      </c>
      <c r="B26" s="13" t="n">
        <f aca="false">COUNTIF(ChecklistTable[Employee Name (XLOOKUP)],A26)</f>
        <v>7</v>
      </c>
      <c r="C26" s="13" t="n">
        <f aca="false">COUNTIFS(ChecklistTable[Employee Name (XLOOKUP)],A26,ChecklistTable[Task Status],"Completed")</f>
        <v>5</v>
      </c>
      <c r="D26" s="13" t="n">
        <f aca="false">COUNTIFS(ChecklistTable[Employee Name (XLOOKUP)],A26,ChecklistTable[Compliance Status],"On Time")</f>
        <v>2</v>
      </c>
      <c r="E26" s="13" t="n">
        <f aca="false">COUNTIFS(ChecklistTable[Employee Name (XLOOKUP)],A26,ChecklistTable[Compliance Status],"Delayed")</f>
        <v>3</v>
      </c>
      <c r="F26" s="13" t="n">
        <f aca="false">COUNTIFS(ChecklistTable[Employee Name (XLOOKUP)],A26,ChecklistTable[Compliance Status],"Overdue")</f>
        <v>1</v>
      </c>
      <c r="G26" s="38" t="n">
        <f aca="false">IFERROR(D26/C26,0)</f>
        <v>0.4</v>
      </c>
      <c r="H26" s="34"/>
      <c r="I26" s="34"/>
      <c r="J26" s="34"/>
      <c r="K26" s="34"/>
      <c r="L26" s="34"/>
    </row>
    <row r="27" customFormat="false" ht="15" hidden="false" customHeight="false" outlineLevel="0" collapsed="false">
      <c r="A27" s="17" t="s">
        <v>27</v>
      </c>
      <c r="B27" s="16" t="n">
        <f aca="false">COUNTIF(ChecklistTable[Employee Name (XLOOKUP)],A27)</f>
        <v>7</v>
      </c>
      <c r="C27" s="16" t="n">
        <f aca="false">COUNTIFS(ChecklistTable[Employee Name (XLOOKUP)],A27,ChecklistTable[Task Status],"Completed")</f>
        <v>5</v>
      </c>
      <c r="D27" s="16" t="n">
        <f aca="false">COUNTIFS(ChecklistTable[Employee Name (XLOOKUP)],A27,ChecklistTable[Compliance Status],"On Time")</f>
        <v>3</v>
      </c>
      <c r="E27" s="16" t="n">
        <f aca="false">COUNTIFS(ChecklistTable[Employee Name (XLOOKUP)],A27,ChecklistTable[Compliance Status],"Delayed")</f>
        <v>2</v>
      </c>
      <c r="F27" s="16" t="n">
        <f aca="false">COUNTIFS(ChecklistTable[Employee Name (XLOOKUP)],A27,ChecklistTable[Compliance Status],"Overdue")</f>
        <v>1</v>
      </c>
      <c r="G27" s="39" t="n">
        <f aca="false">IFERROR(D27/C27,0)</f>
        <v>0.6</v>
      </c>
      <c r="H27" s="34"/>
      <c r="I27" s="34"/>
      <c r="J27" s="34"/>
      <c r="K27" s="34"/>
      <c r="L27" s="34"/>
    </row>
    <row r="28" customFormat="false" ht="15" hidden="false" customHeight="false" outlineLevel="0" collapsed="false">
      <c r="A28" s="14" t="s">
        <v>30</v>
      </c>
      <c r="B28" s="13" t="n">
        <f aca="false">COUNTIF(ChecklistTable[Employee Name (XLOOKUP)],A28)</f>
        <v>7</v>
      </c>
      <c r="C28" s="13" t="n">
        <f aca="false">COUNTIFS(ChecklistTable[Employee Name (XLOOKUP)],A28,ChecklistTable[Task Status],"Completed")</f>
        <v>3</v>
      </c>
      <c r="D28" s="13" t="n">
        <f aca="false">COUNTIFS(ChecklistTable[Employee Name (XLOOKUP)],A28,ChecklistTable[Compliance Status],"On Time")</f>
        <v>3</v>
      </c>
      <c r="E28" s="13" t="n">
        <f aca="false">COUNTIFS(ChecklistTable[Employee Name (XLOOKUP)],A28,ChecklistTable[Compliance Status],"Delayed")</f>
        <v>0</v>
      </c>
      <c r="F28" s="13" t="n">
        <f aca="false">COUNTIFS(ChecklistTable[Employee Name (XLOOKUP)],A28,ChecklistTable[Compliance Status],"Overdue")</f>
        <v>3</v>
      </c>
      <c r="G28" s="38" t="n">
        <f aca="false">IFERROR(D28/C28,0)</f>
        <v>1</v>
      </c>
      <c r="H28" s="34"/>
      <c r="I28" s="34"/>
      <c r="J28" s="34"/>
      <c r="K28" s="34"/>
      <c r="L28" s="34"/>
    </row>
    <row r="29" customFormat="false" ht="15" hidden="false" customHeight="false" outlineLevel="0" collapsed="false">
      <c r="A29" s="17" t="s">
        <v>32</v>
      </c>
      <c r="B29" s="16" t="n">
        <f aca="false">COUNTIF(ChecklistTable[Employee Name (XLOOKUP)],A29)</f>
        <v>7</v>
      </c>
      <c r="C29" s="16" t="n">
        <f aca="false">COUNTIFS(ChecklistTable[Employee Name (XLOOKUP)],A29,ChecklistTable[Task Status],"Completed")</f>
        <v>6</v>
      </c>
      <c r="D29" s="16" t="n">
        <f aca="false">COUNTIFS(ChecklistTable[Employee Name (XLOOKUP)],A29,ChecklistTable[Compliance Status],"On Time")</f>
        <v>3</v>
      </c>
      <c r="E29" s="16" t="n">
        <f aca="false">COUNTIFS(ChecklistTable[Employee Name (XLOOKUP)],A29,ChecklistTable[Compliance Status],"Delayed")</f>
        <v>3</v>
      </c>
      <c r="F29" s="16" t="n">
        <f aca="false">COUNTIFS(ChecklistTable[Employee Name (XLOOKUP)],A29,ChecklistTable[Compliance Status],"Overdue")</f>
        <v>1</v>
      </c>
      <c r="G29" s="39" t="n">
        <f aca="false">IFERROR(D29/C29,0)</f>
        <v>0.5</v>
      </c>
      <c r="H29" s="34"/>
      <c r="I29" s="34"/>
      <c r="J29" s="34"/>
      <c r="K29" s="34"/>
      <c r="L29" s="34"/>
    </row>
    <row r="30" customFormat="false" ht="15" hidden="false" customHeight="false" outlineLevel="0" collapsed="false">
      <c r="A30" s="14" t="s">
        <v>33</v>
      </c>
      <c r="B30" s="13" t="n">
        <f aca="false">COUNTIF(ChecklistTable[Employee Name (XLOOKUP)],A30)</f>
        <v>7</v>
      </c>
      <c r="C30" s="13" t="n">
        <f aca="false">COUNTIFS(ChecklistTable[Employee Name (XLOOKUP)],A30,ChecklistTable[Task Status],"Completed")</f>
        <v>5</v>
      </c>
      <c r="D30" s="13" t="n">
        <f aca="false">COUNTIFS(ChecklistTable[Employee Name (XLOOKUP)],A30,ChecklistTable[Compliance Status],"On Time")</f>
        <v>4</v>
      </c>
      <c r="E30" s="13" t="n">
        <f aca="false">COUNTIFS(ChecklistTable[Employee Name (XLOOKUP)],A30,ChecklistTable[Compliance Status],"Delayed")</f>
        <v>1</v>
      </c>
      <c r="F30" s="13" t="n">
        <f aca="false">COUNTIFS(ChecklistTable[Employee Name (XLOOKUP)],A30,ChecklistTable[Compliance Status],"Overdue")</f>
        <v>1</v>
      </c>
      <c r="G30" s="38" t="n">
        <f aca="false">IFERROR(D30/C30,0)</f>
        <v>0.8</v>
      </c>
      <c r="H30" s="34"/>
      <c r="I30" s="34"/>
      <c r="J30" s="34"/>
      <c r="K30" s="34"/>
      <c r="L30" s="34"/>
    </row>
    <row r="31" customFormat="false" ht="15" hidden="false" customHeight="false" outlineLevel="0" collapsed="false">
      <c r="A31" s="17" t="s">
        <v>34</v>
      </c>
      <c r="B31" s="16" t="n">
        <f aca="false">COUNTIF(ChecklistTable[Employee Name (XLOOKUP)],A31)</f>
        <v>7</v>
      </c>
      <c r="C31" s="16" t="n">
        <f aca="false">COUNTIFS(ChecklistTable[Employee Name (XLOOKUP)],A31,ChecklistTable[Task Status],"Completed")</f>
        <v>6</v>
      </c>
      <c r="D31" s="16" t="n">
        <f aca="false">COUNTIFS(ChecklistTable[Employee Name (XLOOKUP)],A31,ChecklistTable[Compliance Status],"On Time")</f>
        <v>5</v>
      </c>
      <c r="E31" s="16" t="n">
        <f aca="false">COUNTIFS(ChecklistTable[Employee Name (XLOOKUP)],A31,ChecklistTable[Compliance Status],"Delayed")</f>
        <v>1</v>
      </c>
      <c r="F31" s="16" t="n">
        <f aca="false">COUNTIFS(ChecklistTable[Employee Name (XLOOKUP)],A31,ChecklistTable[Compliance Status],"Overdue")</f>
        <v>1</v>
      </c>
      <c r="G31" s="39" t="n">
        <f aca="false">IFERROR(D31/C31,0)</f>
        <v>0.833333333333333</v>
      </c>
      <c r="H31" s="34"/>
      <c r="I31" s="34"/>
      <c r="J31" s="34"/>
      <c r="K31" s="34"/>
      <c r="L31" s="34"/>
    </row>
    <row r="32" customFormat="false" ht="15" hidden="false" customHeight="false" outlineLevel="0" collapsed="false">
      <c r="A32" s="14" t="s">
        <v>35</v>
      </c>
      <c r="B32" s="13" t="n">
        <f aca="false">COUNTIF(ChecklistTable[Employee Name (XLOOKUP)],A32)</f>
        <v>7</v>
      </c>
      <c r="C32" s="13" t="n">
        <f aca="false">COUNTIFS(ChecklistTable[Employee Name (XLOOKUP)],A32,ChecklistTable[Task Status],"Completed")</f>
        <v>2</v>
      </c>
      <c r="D32" s="13" t="n">
        <f aca="false">COUNTIFS(ChecklistTable[Employee Name (XLOOKUP)],A32,ChecklistTable[Compliance Status],"On Time")</f>
        <v>1</v>
      </c>
      <c r="E32" s="13" t="n">
        <f aca="false">COUNTIFS(ChecklistTable[Employee Name (XLOOKUP)],A32,ChecklistTable[Compliance Status],"Delayed")</f>
        <v>1</v>
      </c>
      <c r="F32" s="13" t="n">
        <f aca="false">COUNTIFS(ChecklistTable[Employee Name (XLOOKUP)],A32,ChecklistTable[Compliance Status],"Overdue")</f>
        <v>4</v>
      </c>
      <c r="G32" s="38" t="n">
        <f aca="false">IFERROR(D32/C32,0)</f>
        <v>0.5</v>
      </c>
      <c r="H32" s="34"/>
      <c r="I32" s="34"/>
      <c r="J32" s="34"/>
      <c r="K32" s="34"/>
      <c r="L32" s="34"/>
    </row>
    <row r="33" customFormat="false" ht="15" hidden="false" customHeight="false" outlineLevel="0" collapsed="false">
      <c r="A33" s="17" t="s">
        <v>36</v>
      </c>
      <c r="B33" s="16" t="n">
        <f aca="false">COUNTIF(ChecklistTable[Employee Name (XLOOKUP)],A33)</f>
        <v>7</v>
      </c>
      <c r="C33" s="16" t="n">
        <f aca="false">COUNTIFS(ChecklistTable[Employee Name (XLOOKUP)],A33,ChecklistTable[Task Status],"Completed")</f>
        <v>3</v>
      </c>
      <c r="D33" s="16" t="n">
        <f aca="false">COUNTIFS(ChecklistTable[Employee Name (XLOOKUP)],A33,ChecklistTable[Compliance Status],"On Time")</f>
        <v>3</v>
      </c>
      <c r="E33" s="16" t="n">
        <f aca="false">COUNTIFS(ChecklistTable[Employee Name (XLOOKUP)],A33,ChecklistTable[Compliance Status],"Delayed")</f>
        <v>0</v>
      </c>
      <c r="F33" s="16" t="n">
        <f aca="false">COUNTIFS(ChecklistTable[Employee Name (XLOOKUP)],A33,ChecklistTable[Compliance Status],"Overdue")</f>
        <v>2</v>
      </c>
      <c r="G33" s="39" t="n">
        <f aca="false">IFERROR(D33/C33,0)</f>
        <v>1</v>
      </c>
      <c r="H33" s="34"/>
      <c r="I33" s="34"/>
      <c r="J33" s="34"/>
      <c r="K33" s="34"/>
      <c r="L33" s="34"/>
    </row>
    <row r="34" customFormat="false" ht="15" hidden="false" customHeight="false" outlineLevel="0" collapsed="false">
      <c r="A34" s="14" t="s">
        <v>37</v>
      </c>
      <c r="B34" s="13" t="n">
        <f aca="false">COUNTIF(ChecklistTable[Employee Name (XLOOKUP)],A34)</f>
        <v>7</v>
      </c>
      <c r="C34" s="13" t="n">
        <f aca="false">COUNTIFS(ChecklistTable[Employee Name (XLOOKUP)],A34,ChecklistTable[Task Status],"Completed")</f>
        <v>4</v>
      </c>
      <c r="D34" s="13" t="n">
        <f aca="false">COUNTIFS(ChecklistTable[Employee Name (XLOOKUP)],A34,ChecklistTable[Compliance Status],"On Time")</f>
        <v>3</v>
      </c>
      <c r="E34" s="13" t="n">
        <f aca="false">COUNTIFS(ChecklistTable[Employee Name (XLOOKUP)],A34,ChecklistTable[Compliance Status],"Delayed")</f>
        <v>1</v>
      </c>
      <c r="F34" s="13" t="n">
        <f aca="false">COUNTIFS(ChecklistTable[Employee Name (XLOOKUP)],A34,ChecklistTable[Compliance Status],"Overdue")</f>
        <v>0</v>
      </c>
      <c r="G34" s="38" t="n">
        <f aca="false">IFERROR(D34/C34,0)</f>
        <v>0.75</v>
      </c>
      <c r="H34" s="34"/>
      <c r="I34" s="34"/>
      <c r="J34" s="34"/>
      <c r="K34" s="34"/>
      <c r="L34" s="34"/>
    </row>
    <row r="35" customFormat="false" ht="15" hidden="false" customHeight="false" outlineLevel="0" collapsed="false">
      <c r="A35" s="20" t="s">
        <v>74</v>
      </c>
      <c r="B35" s="19" t="n">
        <f aca="false">SUM(B25:B34)</f>
        <v>70</v>
      </c>
      <c r="C35" s="19" t="n">
        <f aca="false">SUM(C25:C34)</f>
        <v>44</v>
      </c>
      <c r="D35" s="19" t="n">
        <f aca="false">SUM(D25:D34)</f>
        <v>30</v>
      </c>
      <c r="E35" s="19" t="n">
        <f aca="false">SUM(E25:E34)</f>
        <v>14</v>
      </c>
      <c r="F35" s="19" t="n">
        <f aca="false">SUM(F25:F34)</f>
        <v>16</v>
      </c>
      <c r="G35" s="40" t="n">
        <f aca="false">IFERROR(D35/C35,0)</f>
        <v>0.681818181818182</v>
      </c>
      <c r="H35" s="34"/>
      <c r="I35" s="34"/>
      <c r="J35" s="34"/>
      <c r="K35" s="34"/>
      <c r="L35" s="34"/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customFormat="false" ht="15" hidden="false" customHeight="fals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customFormat="false" ht="15" hidden="false" customHeight="fals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customFormat="false" ht="15" hidden="false" customHeight="fals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customFormat="false" ht="15" hidden="false" customHeight="fals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customFormat="false" ht="15" hidden="false" customHeight="fals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</sheetData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8:C8"/>
    <mergeCell ref="A23:G23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Q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3"/>
    <col collapsed="false" customWidth="true" hidden="false" outlineLevel="0" max="3" min="3" style="0" width="25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27"/>
    <col collapsed="false" customWidth="true" hidden="false" outlineLevel="0" max="11" min="11" style="0" width="16"/>
    <col collapsed="false" customWidth="true" hidden="false" outlineLevel="0" max="13" min="12" style="0" width="23"/>
    <col collapsed="false" customWidth="true" hidden="false" outlineLevel="0" max="14" min="14" style="0" width="18"/>
    <col collapsed="false" customWidth="true" hidden="false" outlineLevel="0" max="15" min="15" style="0" width="3"/>
    <col collapsed="false" customWidth="true" hidden="false" outlineLevel="0" max="16" min="16" style="0" width="28"/>
    <col collapsed="false" customWidth="true" hidden="false" outlineLevel="0" max="17" min="17" style="0" width="18"/>
  </cols>
  <sheetData>
    <row r="1" customFormat="false" ht="27.7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1.5" hidden="false" customHeight="true" outlineLevel="0" collapsed="false">
      <c r="A3" s="10" t="s">
        <v>77</v>
      </c>
      <c r="B3" s="10" t="s">
        <v>78</v>
      </c>
      <c r="C3" s="11" t="s">
        <v>79</v>
      </c>
      <c r="D3" s="10" t="s">
        <v>80</v>
      </c>
      <c r="E3" s="11" t="s">
        <v>81</v>
      </c>
      <c r="F3" s="10" t="s">
        <v>82</v>
      </c>
      <c r="G3" s="10" t="s">
        <v>83</v>
      </c>
      <c r="H3" s="10" t="s">
        <v>84</v>
      </c>
      <c r="I3" s="10" t="s">
        <v>51</v>
      </c>
      <c r="J3" s="11" t="s">
        <v>85</v>
      </c>
      <c r="K3" s="10" t="s">
        <v>10</v>
      </c>
      <c r="L3" s="10" t="s">
        <v>86</v>
      </c>
      <c r="M3" s="10" t="s">
        <v>87</v>
      </c>
      <c r="N3" s="10" t="s">
        <v>88</v>
      </c>
      <c r="P3" s="10" t="s">
        <v>89</v>
      </c>
      <c r="Q3" s="10" t="s">
        <v>90</v>
      </c>
    </row>
    <row r="4" customFormat="false" ht="15" hidden="false" customHeight="false" outlineLevel="0" collapsed="false">
      <c r="A4" s="12" t="s">
        <v>91</v>
      </c>
      <c r="B4" s="26" t="n">
        <v>46310</v>
      </c>
      <c r="C4" s="14" t="s">
        <v>92</v>
      </c>
      <c r="D4" s="12" t="s">
        <v>93</v>
      </c>
      <c r="E4" s="14" t="s">
        <v>94</v>
      </c>
      <c r="F4" s="13" t="n">
        <v>2</v>
      </c>
      <c r="G4" s="41" t="n">
        <v>499</v>
      </c>
      <c r="H4" s="41" t="n">
        <f aca="false">F4*G4</f>
        <v>998</v>
      </c>
      <c r="I4" s="12" t="s">
        <v>95</v>
      </c>
      <c r="J4" s="14" t="str">
        <f aca="false">IFERROR(_xlfn.XLOOKUP(I4,EmployeeTable[Employee ID],EmployeeTable[Employee Name],"Not found"),IFERROR(INDEX(EmployeeTable[Employee Name],MATCH(I4,EmployeeTable[Employee ID],0)),"Not found"))</f>
        <v>Aarav Sharma</v>
      </c>
      <c r="K4" s="12" t="s">
        <v>25</v>
      </c>
      <c r="L4" s="26" t="n">
        <v>46316</v>
      </c>
      <c r="M4" s="26"/>
      <c r="N4" s="29" t="str">
        <f aca="true">IF(AND(OR(K4="Pending",K4="Processing"),L4&lt;TODAY()),"Overdue","On Track")</f>
        <v>On Track</v>
      </c>
      <c r="P4" s="42" t="s">
        <v>96</v>
      </c>
      <c r="Q4" s="43" t="str">
        <f aca="false">IF(SUMPRODUCT(--(COUNTIF(OrdersTable[Order ID],OrdersTable[Order ID])&gt;1))&gt;0,"DUPLICATES FOUND","IDs unique")</f>
        <v>IDs unique</v>
      </c>
    </row>
    <row r="5" customFormat="false" ht="15" hidden="false" customHeight="false" outlineLevel="0" collapsed="false">
      <c r="A5" s="15" t="s">
        <v>97</v>
      </c>
      <c r="B5" s="30" t="n">
        <v>46311</v>
      </c>
      <c r="C5" s="17" t="s">
        <v>98</v>
      </c>
      <c r="D5" s="15" t="s">
        <v>99</v>
      </c>
      <c r="E5" s="17" t="s">
        <v>100</v>
      </c>
      <c r="F5" s="16" t="n">
        <v>4</v>
      </c>
      <c r="G5" s="44" t="n">
        <v>899</v>
      </c>
      <c r="H5" s="44" t="n">
        <f aca="false">F5*G5</f>
        <v>3596</v>
      </c>
      <c r="I5" s="15" t="s">
        <v>101</v>
      </c>
      <c r="J5" s="17" t="str">
        <f aca="false">IFERROR(_xlfn.XLOOKUP(I5,EmployeeTable[Employee ID],EmployeeTable[Employee Name],"Not found"),IFERROR(INDEX(EmployeeTable[Employee Name],MATCH(I5,EmployeeTable[Employee ID],0)),"Not found"))</f>
        <v>Diya Verma</v>
      </c>
      <c r="K5" s="15" t="s">
        <v>25</v>
      </c>
      <c r="L5" s="30" t="n">
        <v>46317</v>
      </c>
      <c r="M5" s="30"/>
      <c r="N5" s="33" t="str">
        <f aca="true">IF(AND(OR(K5="Pending",K5="Processing"),L5&lt;TODAY()),"Overdue","On Track")</f>
        <v>On Track</v>
      </c>
      <c r="P5" s="42" t="s">
        <v>102</v>
      </c>
      <c r="Q5" s="43" t="str">
        <f aca="false">IF(COUNTBLANK(OrdersTable[Customer])+COUNTBLANK(OrdersTable[Product ID])&gt;0,"MISSING VALUES","Complete")</f>
        <v>Complete</v>
      </c>
    </row>
    <row r="6" customFormat="false" ht="15" hidden="false" customHeight="false" outlineLevel="0" collapsed="false">
      <c r="A6" s="12" t="s">
        <v>103</v>
      </c>
      <c r="B6" s="26" t="n">
        <v>46228</v>
      </c>
      <c r="C6" s="14" t="s">
        <v>104</v>
      </c>
      <c r="D6" s="12" t="s">
        <v>105</v>
      </c>
      <c r="E6" s="14" t="s">
        <v>106</v>
      </c>
      <c r="F6" s="13" t="n">
        <v>12</v>
      </c>
      <c r="G6" s="41" t="n">
        <v>1499</v>
      </c>
      <c r="H6" s="41" t="n">
        <f aca="false">F6*G6</f>
        <v>17988</v>
      </c>
      <c r="I6" s="12" t="s">
        <v>107</v>
      </c>
      <c r="J6" s="14" t="str">
        <f aca="false">IFERROR(_xlfn.XLOOKUP(I6,EmployeeTable[Employee ID],EmployeeTable[Employee Name],"Not found"),IFERROR(INDEX(EmployeeTable[Employee Name],MATCH(I6,EmployeeTable[Employee ID],0)),"Not found"))</f>
        <v>Kabir Patel</v>
      </c>
      <c r="K6" s="12" t="s">
        <v>17</v>
      </c>
      <c r="L6" s="26" t="n">
        <v>46238</v>
      </c>
      <c r="M6" s="26" t="n">
        <v>46238</v>
      </c>
      <c r="N6" s="29" t="str">
        <f aca="true">IF(AND(OR(K6="Pending",K6="Processing"),L6&lt;TODAY()),"Overdue","On Track")</f>
        <v>On Track</v>
      </c>
      <c r="P6" s="42" t="s">
        <v>2</v>
      </c>
      <c r="Q6" s="45" t="n">
        <f aca="false">COUNTA(OrdersTable[Order ID])</f>
        <v>60</v>
      </c>
    </row>
    <row r="7" customFormat="false" ht="15" hidden="false" customHeight="false" outlineLevel="0" collapsed="false">
      <c r="A7" s="15" t="s">
        <v>108</v>
      </c>
      <c r="B7" s="30" t="n">
        <v>46310</v>
      </c>
      <c r="C7" s="17" t="s">
        <v>109</v>
      </c>
      <c r="D7" s="15" t="s">
        <v>110</v>
      </c>
      <c r="E7" s="17" t="s">
        <v>111</v>
      </c>
      <c r="F7" s="16" t="n">
        <v>1</v>
      </c>
      <c r="G7" s="44" t="n">
        <v>1199</v>
      </c>
      <c r="H7" s="44" t="n">
        <f aca="false">F7*G7</f>
        <v>1199</v>
      </c>
      <c r="I7" s="15" t="s">
        <v>112</v>
      </c>
      <c r="J7" s="17" t="str">
        <f aca="false">IFERROR(_xlfn.XLOOKUP(I7,EmployeeTable[Employee ID],EmployeeTable[Employee Name],"Not found"),IFERROR(INDEX(EmployeeTable[Employee Name],MATCH(I7,EmployeeTable[Employee ID],0)),"Not found"))</f>
        <v>Meera Singh</v>
      </c>
      <c r="K7" s="15" t="s">
        <v>17</v>
      </c>
      <c r="L7" s="30" t="n">
        <v>46313</v>
      </c>
      <c r="M7" s="30" t="n">
        <v>46314</v>
      </c>
      <c r="N7" s="33" t="str">
        <f aca="true">IF(AND(OR(K7="Pending",K7="Processing"),L7&lt;TODAY()),"Overdue","On Track")</f>
        <v>On Track</v>
      </c>
      <c r="P7" s="42" t="s">
        <v>3</v>
      </c>
      <c r="Q7" s="46" t="n">
        <f aca="false">COUNTIF(OrdersTable[Order Status],"Delivered")</f>
        <v>34</v>
      </c>
    </row>
    <row r="8" customFormat="false" ht="15" hidden="false" customHeight="false" outlineLevel="0" collapsed="false">
      <c r="A8" s="12" t="s">
        <v>113</v>
      </c>
      <c r="B8" s="26" t="n">
        <v>46237</v>
      </c>
      <c r="C8" s="14" t="s">
        <v>114</v>
      </c>
      <c r="D8" s="12" t="s">
        <v>115</v>
      </c>
      <c r="E8" s="14" t="s">
        <v>116</v>
      </c>
      <c r="F8" s="13" t="n">
        <v>1</v>
      </c>
      <c r="G8" s="41" t="n">
        <v>2499</v>
      </c>
      <c r="H8" s="41" t="n">
        <f aca="false">F8*G8</f>
        <v>2499</v>
      </c>
      <c r="I8" s="12" t="s">
        <v>117</v>
      </c>
      <c r="J8" s="14" t="str">
        <f aca="false">IFERROR(_xlfn.XLOOKUP(I8,EmployeeTable[Employee ID],EmployeeTable[Employee Name],"Not found"),IFERROR(INDEX(EmployeeTable[Employee Name],MATCH(I8,EmployeeTable[Employee ID],0)),"Not found"))</f>
        <v>Ishaan Gupta</v>
      </c>
      <c r="K8" s="12" t="s">
        <v>17</v>
      </c>
      <c r="L8" s="26" t="n">
        <v>46247</v>
      </c>
      <c r="M8" s="26" t="n">
        <v>46249</v>
      </c>
      <c r="N8" s="29" t="str">
        <f aca="true">IF(AND(OR(K8="Pending",K8="Processing"),L8&lt;TODAY()),"Overdue","On Track")</f>
        <v>On Track</v>
      </c>
      <c r="P8" s="42" t="s">
        <v>118</v>
      </c>
      <c r="Q8" s="47" t="n">
        <f aca="false">COUNTIF(OrdersTable[Order Status],"Pending")+COUNTIF(OrdersTable[Order Status],"Processing")</f>
        <v>21</v>
      </c>
    </row>
    <row r="9" customFormat="false" ht="15" hidden="false" customHeight="false" outlineLevel="0" collapsed="false">
      <c r="A9" s="15" t="s">
        <v>119</v>
      </c>
      <c r="B9" s="30" t="n">
        <v>46225</v>
      </c>
      <c r="C9" s="17" t="s">
        <v>120</v>
      </c>
      <c r="D9" s="15" t="s">
        <v>121</v>
      </c>
      <c r="E9" s="17" t="s">
        <v>122</v>
      </c>
      <c r="F9" s="16" t="n">
        <v>9</v>
      </c>
      <c r="G9" s="44" t="n">
        <v>1799</v>
      </c>
      <c r="H9" s="44" t="n">
        <f aca="false">F9*G9</f>
        <v>16191</v>
      </c>
      <c r="I9" s="15" t="s">
        <v>123</v>
      </c>
      <c r="J9" s="17" t="str">
        <f aca="false">IFERROR(_xlfn.XLOOKUP(I9,EmployeeTable[Employee ID],EmployeeTable[Employee Name],"Not found"),IFERROR(INDEX(EmployeeTable[Employee Name],MATCH(I9,EmployeeTable[Employee ID],0)),"Not found"))</f>
        <v>Ananya Rao</v>
      </c>
      <c r="K9" s="15" t="s">
        <v>17</v>
      </c>
      <c r="L9" s="30" t="n">
        <v>46233</v>
      </c>
      <c r="M9" s="30" t="n">
        <v>46234</v>
      </c>
      <c r="N9" s="33" t="str">
        <f aca="true">IF(AND(OR(K9="Pending",K9="Processing"),L9&lt;TODAY()),"Overdue","On Track")</f>
        <v>On Track</v>
      </c>
      <c r="P9" s="42" t="s">
        <v>124</v>
      </c>
      <c r="Q9" s="48" t="n">
        <f aca="false">COUNTIF(OrdersTable[Overdue Status],"Overdue")</f>
        <v>13</v>
      </c>
    </row>
    <row r="10" customFormat="false" ht="15" hidden="false" customHeight="false" outlineLevel="0" collapsed="false">
      <c r="A10" s="12" t="s">
        <v>125</v>
      </c>
      <c r="B10" s="26" t="n">
        <v>46279</v>
      </c>
      <c r="C10" s="14" t="s">
        <v>126</v>
      </c>
      <c r="D10" s="12" t="s">
        <v>127</v>
      </c>
      <c r="E10" s="14" t="s">
        <v>128</v>
      </c>
      <c r="F10" s="13" t="n">
        <v>1</v>
      </c>
      <c r="G10" s="41" t="n">
        <v>999</v>
      </c>
      <c r="H10" s="41" t="n">
        <f aca="false">F10*G10</f>
        <v>999</v>
      </c>
      <c r="I10" s="12" t="s">
        <v>129</v>
      </c>
      <c r="J10" s="14" t="str">
        <f aca="false">IFERROR(_xlfn.XLOOKUP(I10,EmployeeTable[Employee ID],EmployeeTable[Employee Name],"Not found"),IFERROR(INDEX(EmployeeTable[Employee Name],MATCH(I10,EmployeeTable[Employee ID],0)),"Not found"))</f>
        <v>Rohan Das</v>
      </c>
      <c r="K10" s="12" t="s">
        <v>25</v>
      </c>
      <c r="L10" s="26" t="n">
        <v>46283</v>
      </c>
      <c r="M10" s="26"/>
      <c r="N10" s="29" t="str">
        <f aca="true">IF(AND(OR(K10="Pending",K10="Processing"),L10&lt;TODAY()),"Overdue","On Track")</f>
        <v>Overdue</v>
      </c>
      <c r="P10" s="42" t="s">
        <v>130</v>
      </c>
      <c r="Q10" s="45" t="n">
        <f aca="false">COUNTIF(OrdersTable[Order Status],"Returned")+COUNTIF(OrdersTable[Order Status],"Cancelled")</f>
        <v>5</v>
      </c>
    </row>
    <row r="11" customFormat="false" ht="15" hidden="false" customHeight="false" outlineLevel="0" collapsed="false">
      <c r="A11" s="15" t="s">
        <v>131</v>
      </c>
      <c r="B11" s="30" t="n">
        <v>46271</v>
      </c>
      <c r="C11" s="17" t="s">
        <v>132</v>
      </c>
      <c r="D11" s="15" t="s">
        <v>133</v>
      </c>
      <c r="E11" s="17" t="s">
        <v>134</v>
      </c>
      <c r="F11" s="16" t="n">
        <v>5</v>
      </c>
      <c r="G11" s="44" t="n">
        <v>249</v>
      </c>
      <c r="H11" s="44" t="n">
        <f aca="false">F11*G11</f>
        <v>1245</v>
      </c>
      <c r="I11" s="15" t="s">
        <v>135</v>
      </c>
      <c r="J11" s="17" t="str">
        <f aca="false">IFERROR(_xlfn.XLOOKUP(I11,EmployeeTable[Employee ID],EmployeeTable[Employee Name],"Not found"),IFERROR(INDEX(EmployeeTable[Employee Name],MATCH(I11,EmployeeTable[Employee ID],0)),"Not found"))</f>
        <v>Sana Khan</v>
      </c>
      <c r="K11" s="15" t="s">
        <v>17</v>
      </c>
      <c r="L11" s="30" t="n">
        <v>46275</v>
      </c>
      <c r="M11" s="30" t="n">
        <v>46275</v>
      </c>
      <c r="N11" s="33" t="str">
        <f aca="true">IF(AND(OR(K11="Pending",K11="Processing"),L11&lt;TODAY()),"Overdue","On Track")</f>
        <v>On Track</v>
      </c>
      <c r="P11" s="42" t="s">
        <v>5</v>
      </c>
      <c r="Q11" s="49" t="n">
        <f aca="false">SUM(OrdersTable[Order Value (₹)])</f>
        <v>452183</v>
      </c>
    </row>
    <row r="12" customFormat="false" ht="15" hidden="false" customHeight="false" outlineLevel="0" collapsed="false">
      <c r="A12" s="12" t="s">
        <v>136</v>
      </c>
      <c r="B12" s="26" t="n">
        <v>46301</v>
      </c>
      <c r="C12" s="14" t="s">
        <v>137</v>
      </c>
      <c r="D12" s="12" t="s">
        <v>138</v>
      </c>
      <c r="E12" s="14" t="s">
        <v>139</v>
      </c>
      <c r="F12" s="13" t="n">
        <v>2</v>
      </c>
      <c r="G12" s="41" t="n">
        <v>199</v>
      </c>
      <c r="H12" s="41" t="n">
        <f aca="false">F12*G12</f>
        <v>398</v>
      </c>
      <c r="I12" s="12" t="s">
        <v>140</v>
      </c>
      <c r="J12" s="14" t="str">
        <f aca="false">IFERROR(_xlfn.XLOOKUP(I12,EmployeeTable[Employee ID],EmployeeTable[Employee Name],"Not found"),IFERROR(INDEX(EmployeeTable[Employee Name],MATCH(I12,EmployeeTable[Employee ID],0)),"Not found"))</f>
        <v>Vivaan Joshi</v>
      </c>
      <c r="K12" s="12" t="s">
        <v>17</v>
      </c>
      <c r="L12" s="26" t="n">
        <v>46309</v>
      </c>
      <c r="M12" s="26" t="n">
        <v>46309</v>
      </c>
      <c r="N12" s="29" t="str">
        <f aca="true">IF(AND(OR(K12="Pending",K12="Processing"),L12&lt;TODAY()),"Overdue","On Track")</f>
        <v>On Track</v>
      </c>
    </row>
    <row r="13" customFormat="false" ht="15" hidden="false" customHeight="false" outlineLevel="0" collapsed="false">
      <c r="A13" s="15" t="s">
        <v>141</v>
      </c>
      <c r="B13" s="30" t="n">
        <v>46237</v>
      </c>
      <c r="C13" s="17" t="s">
        <v>142</v>
      </c>
      <c r="D13" s="15" t="s">
        <v>143</v>
      </c>
      <c r="E13" s="17" t="s">
        <v>144</v>
      </c>
      <c r="F13" s="16" t="n">
        <v>5</v>
      </c>
      <c r="G13" s="44" t="n">
        <v>4999</v>
      </c>
      <c r="H13" s="44" t="n">
        <f aca="false">F13*G13</f>
        <v>24995</v>
      </c>
      <c r="I13" s="15" t="s">
        <v>145</v>
      </c>
      <c r="J13" s="17" t="str">
        <f aca="false">IFERROR(_xlfn.XLOOKUP(I13,EmployeeTable[Employee ID],EmployeeTable[Employee Name],"Not found"),IFERROR(INDEX(EmployeeTable[Employee Name],MATCH(I13,EmployeeTable[Employee ID],0)),"Not found"))</f>
        <v>Ira Nair</v>
      </c>
      <c r="K13" s="15" t="s">
        <v>25</v>
      </c>
      <c r="L13" s="30" t="n">
        <v>46239</v>
      </c>
      <c r="M13" s="30"/>
      <c r="N13" s="33" t="str">
        <f aca="true">IF(AND(OR(K13="Pending",K13="Processing"),L13&lt;TODAY()),"Overdue","On Track")</f>
        <v>Overdue</v>
      </c>
    </row>
    <row r="14" customFormat="false" ht="15" hidden="false" customHeight="false" outlineLevel="0" collapsed="false">
      <c r="A14" s="12" t="s">
        <v>146</v>
      </c>
      <c r="B14" s="26" t="n">
        <v>46246</v>
      </c>
      <c r="C14" s="14" t="s">
        <v>147</v>
      </c>
      <c r="D14" s="12" t="s">
        <v>93</v>
      </c>
      <c r="E14" s="14" t="s">
        <v>94</v>
      </c>
      <c r="F14" s="13" t="n">
        <v>2</v>
      </c>
      <c r="G14" s="41" t="n">
        <v>499</v>
      </c>
      <c r="H14" s="41" t="n">
        <f aca="false">F14*G14</f>
        <v>998</v>
      </c>
      <c r="I14" s="12" t="s">
        <v>95</v>
      </c>
      <c r="J14" s="14" t="str">
        <f aca="false">IFERROR(_xlfn.XLOOKUP(I14,EmployeeTable[Employee ID],EmployeeTable[Employee Name],"Not found"),IFERROR(INDEX(EmployeeTable[Employee Name],MATCH(I14,EmployeeTable[Employee ID],0)),"Not found"))</f>
        <v>Aarav Sharma</v>
      </c>
      <c r="K14" s="12" t="s">
        <v>17</v>
      </c>
      <c r="L14" s="26" t="n">
        <v>46254</v>
      </c>
      <c r="M14" s="26" t="n">
        <v>46254</v>
      </c>
      <c r="N14" s="29" t="str">
        <f aca="true">IF(AND(OR(K14="Pending",K14="Processing"),L14&lt;TODAY()),"Overdue","On Track")</f>
        <v>On Track</v>
      </c>
    </row>
    <row r="15" customFormat="false" ht="15" hidden="false" customHeight="false" outlineLevel="0" collapsed="false">
      <c r="A15" s="15" t="s">
        <v>148</v>
      </c>
      <c r="B15" s="30" t="n">
        <v>46234</v>
      </c>
      <c r="C15" s="17" t="s">
        <v>149</v>
      </c>
      <c r="D15" s="15" t="s">
        <v>99</v>
      </c>
      <c r="E15" s="17" t="s">
        <v>100</v>
      </c>
      <c r="F15" s="16" t="n">
        <v>10</v>
      </c>
      <c r="G15" s="44" t="n">
        <v>899</v>
      </c>
      <c r="H15" s="44" t="n">
        <f aca="false">F15*G15</f>
        <v>8990</v>
      </c>
      <c r="I15" s="15" t="s">
        <v>101</v>
      </c>
      <c r="J15" s="17" t="str">
        <f aca="false">IFERROR(_xlfn.XLOOKUP(I15,EmployeeTable[Employee ID],EmployeeTable[Employee Name],"Not found"),IFERROR(INDEX(EmployeeTable[Employee Name],MATCH(I15,EmployeeTable[Employee ID],0)),"Not found"))</f>
        <v>Diya Verma</v>
      </c>
      <c r="K15" s="15" t="s">
        <v>21</v>
      </c>
      <c r="L15" s="30" t="n">
        <v>46241</v>
      </c>
      <c r="M15" s="30"/>
      <c r="N15" s="33" t="str">
        <f aca="true">IF(AND(OR(K15="Pending",K15="Processing"),L15&lt;TODAY()),"Overdue","On Track")</f>
        <v>Overdue</v>
      </c>
    </row>
    <row r="16" customFormat="false" ht="15" hidden="false" customHeight="false" outlineLevel="0" collapsed="false">
      <c r="A16" s="12" t="s">
        <v>150</v>
      </c>
      <c r="B16" s="26" t="n">
        <v>46311</v>
      </c>
      <c r="C16" s="14" t="s">
        <v>92</v>
      </c>
      <c r="D16" s="12" t="s">
        <v>105</v>
      </c>
      <c r="E16" s="14" t="s">
        <v>106</v>
      </c>
      <c r="F16" s="13" t="n">
        <v>1</v>
      </c>
      <c r="G16" s="41" t="n">
        <v>1499</v>
      </c>
      <c r="H16" s="41" t="n">
        <f aca="false">F16*G16</f>
        <v>1499</v>
      </c>
      <c r="I16" s="12" t="s">
        <v>107</v>
      </c>
      <c r="J16" s="14" t="str">
        <f aca="false">IFERROR(_xlfn.XLOOKUP(I16,EmployeeTable[Employee ID],EmployeeTable[Employee Name],"Not found"),IFERROR(INDEX(EmployeeTable[Employee Name],MATCH(I16,EmployeeTable[Employee ID],0)),"Not found"))</f>
        <v>Kabir Patel</v>
      </c>
      <c r="K16" s="12" t="s">
        <v>25</v>
      </c>
      <c r="L16" s="26" t="n">
        <v>46318</v>
      </c>
      <c r="M16" s="26"/>
      <c r="N16" s="29" t="str">
        <f aca="true">IF(AND(OR(K16="Pending",K16="Processing"),L16&lt;TODAY()),"Overdue","On Track")</f>
        <v>On Track</v>
      </c>
    </row>
    <row r="17" customFormat="false" ht="15" hidden="false" customHeight="false" outlineLevel="0" collapsed="false">
      <c r="A17" s="15" t="s">
        <v>151</v>
      </c>
      <c r="B17" s="30" t="n">
        <v>46304</v>
      </c>
      <c r="C17" s="17" t="s">
        <v>98</v>
      </c>
      <c r="D17" s="15" t="s">
        <v>110</v>
      </c>
      <c r="E17" s="17" t="s">
        <v>111</v>
      </c>
      <c r="F17" s="16" t="n">
        <v>4</v>
      </c>
      <c r="G17" s="44" t="n">
        <v>1199</v>
      </c>
      <c r="H17" s="44" t="n">
        <f aca="false">F17*G17</f>
        <v>4796</v>
      </c>
      <c r="I17" s="15" t="s">
        <v>112</v>
      </c>
      <c r="J17" s="17" t="str">
        <f aca="false">IFERROR(_xlfn.XLOOKUP(I17,EmployeeTable[Employee ID],EmployeeTable[Employee Name],"Not found"),IFERROR(INDEX(EmployeeTable[Employee Name],MATCH(I17,EmployeeTable[Employee ID],0)),"Not found"))</f>
        <v>Meera Singh</v>
      </c>
      <c r="K17" s="15" t="s">
        <v>17</v>
      </c>
      <c r="L17" s="30" t="n">
        <v>46307</v>
      </c>
      <c r="M17" s="30" t="n">
        <v>46307</v>
      </c>
      <c r="N17" s="33" t="str">
        <f aca="true">IF(AND(OR(K17="Pending",K17="Processing"),L17&lt;TODAY()),"Overdue","On Track")</f>
        <v>On Track</v>
      </c>
    </row>
    <row r="18" customFormat="false" ht="15" hidden="false" customHeight="false" outlineLevel="0" collapsed="false">
      <c r="A18" s="12" t="s">
        <v>152</v>
      </c>
      <c r="B18" s="26" t="n">
        <v>46233</v>
      </c>
      <c r="C18" s="14" t="s">
        <v>104</v>
      </c>
      <c r="D18" s="12" t="s">
        <v>115</v>
      </c>
      <c r="E18" s="14" t="s">
        <v>116</v>
      </c>
      <c r="F18" s="13" t="n">
        <v>6</v>
      </c>
      <c r="G18" s="41" t="n">
        <v>2499</v>
      </c>
      <c r="H18" s="41" t="n">
        <f aca="false">F18*G18</f>
        <v>14994</v>
      </c>
      <c r="I18" s="12" t="s">
        <v>117</v>
      </c>
      <c r="J18" s="14" t="str">
        <f aca="false">IFERROR(_xlfn.XLOOKUP(I18,EmployeeTable[Employee ID],EmployeeTable[Employee Name],"Not found"),IFERROR(INDEX(EmployeeTable[Employee Name],MATCH(I18,EmployeeTable[Employee ID],0)),"Not found"))</f>
        <v>Ishaan Gupta</v>
      </c>
      <c r="K18" s="12" t="s">
        <v>17</v>
      </c>
      <c r="L18" s="26" t="n">
        <v>46237</v>
      </c>
      <c r="M18" s="26" t="n">
        <v>46236</v>
      </c>
      <c r="N18" s="29" t="str">
        <f aca="true">IF(AND(OR(K18="Pending",K18="Processing"),L18&lt;TODAY()),"Overdue","On Track")</f>
        <v>On Track</v>
      </c>
    </row>
    <row r="19" customFormat="false" ht="15" hidden="false" customHeight="false" outlineLevel="0" collapsed="false">
      <c r="A19" s="15" t="s">
        <v>153</v>
      </c>
      <c r="B19" s="30" t="n">
        <v>46229</v>
      </c>
      <c r="C19" s="17" t="s">
        <v>109</v>
      </c>
      <c r="D19" s="15" t="s">
        <v>121</v>
      </c>
      <c r="E19" s="17" t="s">
        <v>122</v>
      </c>
      <c r="F19" s="16" t="n">
        <v>5</v>
      </c>
      <c r="G19" s="44" t="n">
        <v>1799</v>
      </c>
      <c r="H19" s="44" t="n">
        <f aca="false">F19*G19</f>
        <v>8995</v>
      </c>
      <c r="I19" s="15" t="s">
        <v>123</v>
      </c>
      <c r="J19" s="17" t="str">
        <f aca="false">IFERROR(_xlfn.XLOOKUP(I19,EmployeeTable[Employee ID],EmployeeTable[Employee Name],"Not found"),IFERROR(INDEX(EmployeeTable[Employee Name],MATCH(I19,EmployeeTable[Employee ID],0)),"Not found"))</f>
        <v>Ananya Rao</v>
      </c>
      <c r="K19" s="15" t="s">
        <v>21</v>
      </c>
      <c r="L19" s="30" t="n">
        <v>46232</v>
      </c>
      <c r="M19" s="30"/>
      <c r="N19" s="33" t="str">
        <f aca="true">IF(AND(OR(K19="Pending",K19="Processing"),L19&lt;TODAY()),"Overdue","On Track")</f>
        <v>Overdue</v>
      </c>
    </row>
    <row r="20" customFormat="false" ht="15" hidden="false" customHeight="false" outlineLevel="0" collapsed="false">
      <c r="A20" s="12" t="s">
        <v>154</v>
      </c>
      <c r="B20" s="26" t="n">
        <v>46293</v>
      </c>
      <c r="C20" s="14" t="s">
        <v>114</v>
      </c>
      <c r="D20" s="12" t="s">
        <v>127</v>
      </c>
      <c r="E20" s="14" t="s">
        <v>128</v>
      </c>
      <c r="F20" s="13" t="n">
        <v>9</v>
      </c>
      <c r="G20" s="41" t="n">
        <v>999</v>
      </c>
      <c r="H20" s="41" t="n">
        <f aca="false">F20*G20</f>
        <v>8991</v>
      </c>
      <c r="I20" s="12" t="s">
        <v>129</v>
      </c>
      <c r="J20" s="14" t="str">
        <f aca="false">IFERROR(_xlfn.XLOOKUP(I20,EmployeeTable[Employee ID],EmployeeTable[Employee Name],"Not found"),IFERROR(INDEX(EmployeeTable[Employee Name],MATCH(I20,EmployeeTable[Employee ID],0)),"Not found"))</f>
        <v>Rohan Das</v>
      </c>
      <c r="K20" s="12" t="s">
        <v>17</v>
      </c>
      <c r="L20" s="26" t="n">
        <v>46298</v>
      </c>
      <c r="M20" s="26" t="n">
        <v>46298</v>
      </c>
      <c r="N20" s="29" t="str">
        <f aca="true">IF(AND(OR(K20="Pending",K20="Processing"),L20&lt;TODAY()),"Overdue","On Track")</f>
        <v>On Track</v>
      </c>
    </row>
    <row r="21" customFormat="false" ht="15" hidden="false" customHeight="false" outlineLevel="0" collapsed="false">
      <c r="A21" s="15" t="s">
        <v>155</v>
      </c>
      <c r="B21" s="30" t="n">
        <v>46280</v>
      </c>
      <c r="C21" s="17" t="s">
        <v>120</v>
      </c>
      <c r="D21" s="15" t="s">
        <v>133</v>
      </c>
      <c r="E21" s="17" t="s">
        <v>134</v>
      </c>
      <c r="F21" s="16" t="n">
        <v>11</v>
      </c>
      <c r="G21" s="44" t="n">
        <v>249</v>
      </c>
      <c r="H21" s="44" t="n">
        <f aca="false">F21*G21</f>
        <v>2739</v>
      </c>
      <c r="I21" s="15" t="s">
        <v>135</v>
      </c>
      <c r="J21" s="17" t="str">
        <f aca="false">IFERROR(_xlfn.XLOOKUP(I21,EmployeeTable[Employee ID],EmployeeTable[Employee Name],"Not found"),IFERROR(INDEX(EmployeeTable[Employee Name],MATCH(I21,EmployeeTable[Employee ID],0)),"Not found"))</f>
        <v>Sana Khan</v>
      </c>
      <c r="K21" s="15" t="s">
        <v>17</v>
      </c>
      <c r="L21" s="30" t="n">
        <v>46290</v>
      </c>
      <c r="M21" s="30" t="n">
        <v>46290</v>
      </c>
      <c r="N21" s="33" t="str">
        <f aca="true">IF(AND(OR(K21="Pending",K21="Processing"),L21&lt;TODAY()),"Overdue","On Track")</f>
        <v>On Track</v>
      </c>
    </row>
    <row r="22" customFormat="false" ht="15" hidden="false" customHeight="false" outlineLevel="0" collapsed="false">
      <c r="A22" s="12" t="s">
        <v>156</v>
      </c>
      <c r="B22" s="26" t="n">
        <v>46309</v>
      </c>
      <c r="C22" s="14" t="s">
        <v>126</v>
      </c>
      <c r="D22" s="12" t="s">
        <v>138</v>
      </c>
      <c r="E22" s="14" t="s">
        <v>139</v>
      </c>
      <c r="F22" s="13" t="n">
        <v>4</v>
      </c>
      <c r="G22" s="41" t="n">
        <v>199</v>
      </c>
      <c r="H22" s="41" t="n">
        <f aca="false">F22*G22</f>
        <v>796</v>
      </c>
      <c r="I22" s="12" t="s">
        <v>140</v>
      </c>
      <c r="J22" s="14" t="str">
        <f aca="false">IFERROR(_xlfn.XLOOKUP(I22,EmployeeTable[Employee ID],EmployeeTable[Employee Name],"Not found"),IFERROR(INDEX(EmployeeTable[Employee Name],MATCH(I22,EmployeeTable[Employee ID],0)),"Not found"))</f>
        <v>Vivaan Joshi</v>
      </c>
      <c r="K22" s="12" t="s">
        <v>25</v>
      </c>
      <c r="L22" s="26" t="n">
        <v>46315</v>
      </c>
      <c r="M22" s="26"/>
      <c r="N22" s="29" t="str">
        <f aca="true">IF(AND(OR(K22="Pending",K22="Processing"),L22&lt;TODAY()),"Overdue","On Track")</f>
        <v>On Track</v>
      </c>
    </row>
    <row r="23" customFormat="false" ht="15" hidden="false" customHeight="false" outlineLevel="0" collapsed="false">
      <c r="A23" s="15" t="s">
        <v>157</v>
      </c>
      <c r="B23" s="30" t="n">
        <v>46263</v>
      </c>
      <c r="C23" s="17" t="s">
        <v>132</v>
      </c>
      <c r="D23" s="15" t="s">
        <v>143</v>
      </c>
      <c r="E23" s="17" t="s">
        <v>144</v>
      </c>
      <c r="F23" s="16" t="n">
        <v>5</v>
      </c>
      <c r="G23" s="44" t="n">
        <v>4999</v>
      </c>
      <c r="H23" s="44" t="n">
        <f aca="false">F23*G23</f>
        <v>24995</v>
      </c>
      <c r="I23" s="15" t="s">
        <v>145</v>
      </c>
      <c r="J23" s="17" t="str">
        <f aca="false">IFERROR(_xlfn.XLOOKUP(I23,EmployeeTable[Employee ID],EmployeeTable[Employee Name],"Not found"),IFERROR(INDEX(EmployeeTable[Employee Name],MATCH(I23,EmployeeTable[Employee ID],0)),"Not found"))</f>
        <v>Ira Nair</v>
      </c>
      <c r="K23" s="15" t="s">
        <v>17</v>
      </c>
      <c r="L23" s="30" t="n">
        <v>46266</v>
      </c>
      <c r="M23" s="30" t="n">
        <v>46267</v>
      </c>
      <c r="N23" s="33" t="str">
        <f aca="true">IF(AND(OR(K23="Pending",K23="Processing"),L23&lt;TODAY()),"Overdue","On Track")</f>
        <v>On Track</v>
      </c>
    </row>
    <row r="24" customFormat="false" ht="15" hidden="false" customHeight="false" outlineLevel="0" collapsed="false">
      <c r="A24" s="12" t="s">
        <v>158</v>
      </c>
      <c r="B24" s="26" t="n">
        <v>46274</v>
      </c>
      <c r="C24" s="14" t="s">
        <v>137</v>
      </c>
      <c r="D24" s="12" t="s">
        <v>93</v>
      </c>
      <c r="E24" s="14" t="s">
        <v>94</v>
      </c>
      <c r="F24" s="13" t="n">
        <v>4</v>
      </c>
      <c r="G24" s="41" t="n">
        <v>499</v>
      </c>
      <c r="H24" s="41" t="n">
        <f aca="false">F24*G24</f>
        <v>1996</v>
      </c>
      <c r="I24" s="12" t="s">
        <v>95</v>
      </c>
      <c r="J24" s="14" t="str">
        <f aca="false">IFERROR(_xlfn.XLOOKUP(I24,EmployeeTable[Employee ID],EmployeeTable[Employee Name],"Not found"),IFERROR(INDEX(EmployeeTable[Employee Name],MATCH(I24,EmployeeTable[Employee ID],0)),"Not found"))</f>
        <v>Aarav Sharma</v>
      </c>
      <c r="K24" s="12" t="s">
        <v>17</v>
      </c>
      <c r="L24" s="26" t="n">
        <v>46283</v>
      </c>
      <c r="M24" s="26" t="n">
        <v>46285</v>
      </c>
      <c r="N24" s="29" t="str">
        <f aca="true">IF(AND(OR(K24="Pending",K24="Processing"),L24&lt;TODAY()),"Overdue","On Track")</f>
        <v>On Track</v>
      </c>
    </row>
    <row r="25" customFormat="false" ht="15" hidden="false" customHeight="false" outlineLevel="0" collapsed="false">
      <c r="A25" s="15" t="s">
        <v>159</v>
      </c>
      <c r="B25" s="30" t="n">
        <v>46256</v>
      </c>
      <c r="C25" s="17" t="s">
        <v>142</v>
      </c>
      <c r="D25" s="15" t="s">
        <v>99</v>
      </c>
      <c r="E25" s="17" t="s">
        <v>100</v>
      </c>
      <c r="F25" s="16" t="n">
        <v>3</v>
      </c>
      <c r="G25" s="44" t="n">
        <v>899</v>
      </c>
      <c r="H25" s="44" t="n">
        <f aca="false">F25*G25</f>
        <v>2697</v>
      </c>
      <c r="I25" s="15" t="s">
        <v>101</v>
      </c>
      <c r="J25" s="17" t="str">
        <f aca="false">IFERROR(_xlfn.XLOOKUP(I25,EmployeeTable[Employee ID],EmployeeTable[Employee Name],"Not found"),IFERROR(INDEX(EmployeeTable[Employee Name],MATCH(I25,EmployeeTable[Employee ID],0)),"Not found"))</f>
        <v>Diya Verma</v>
      </c>
      <c r="K25" s="15" t="s">
        <v>17</v>
      </c>
      <c r="L25" s="30" t="n">
        <v>46262</v>
      </c>
      <c r="M25" s="30" t="n">
        <v>46264</v>
      </c>
      <c r="N25" s="33" t="str">
        <f aca="true">IF(AND(OR(K25="Pending",K25="Processing"),L25&lt;TODAY()),"Overdue","On Track")</f>
        <v>On Track</v>
      </c>
    </row>
    <row r="26" customFormat="false" ht="15" hidden="false" customHeight="false" outlineLevel="0" collapsed="false">
      <c r="A26" s="12" t="s">
        <v>160</v>
      </c>
      <c r="B26" s="26" t="n">
        <v>46243</v>
      </c>
      <c r="C26" s="14" t="s">
        <v>147</v>
      </c>
      <c r="D26" s="12" t="s">
        <v>105</v>
      </c>
      <c r="E26" s="14" t="s">
        <v>106</v>
      </c>
      <c r="F26" s="13" t="n">
        <v>9</v>
      </c>
      <c r="G26" s="41" t="n">
        <v>1499</v>
      </c>
      <c r="H26" s="41" t="n">
        <f aca="false">F26*G26</f>
        <v>13491</v>
      </c>
      <c r="I26" s="12" t="s">
        <v>107</v>
      </c>
      <c r="J26" s="14" t="str">
        <f aca="false">IFERROR(_xlfn.XLOOKUP(I26,EmployeeTable[Employee ID],EmployeeTable[Employee Name],"Not found"),IFERROR(INDEX(EmployeeTable[Employee Name],MATCH(I26,EmployeeTable[Employee ID],0)),"Not found"))</f>
        <v>Kabir Patel</v>
      </c>
      <c r="K26" s="12" t="s">
        <v>25</v>
      </c>
      <c r="L26" s="26" t="n">
        <v>46249</v>
      </c>
      <c r="M26" s="26"/>
      <c r="N26" s="29" t="str">
        <f aca="true">IF(AND(OR(K26="Pending",K26="Processing"),L26&lt;TODAY()),"Overdue","On Track")</f>
        <v>Overdue</v>
      </c>
    </row>
    <row r="27" customFormat="false" ht="15" hidden="false" customHeight="false" outlineLevel="0" collapsed="false">
      <c r="A27" s="15" t="s">
        <v>161</v>
      </c>
      <c r="B27" s="30" t="n">
        <v>46260</v>
      </c>
      <c r="C27" s="17" t="s">
        <v>149</v>
      </c>
      <c r="D27" s="15" t="s">
        <v>110</v>
      </c>
      <c r="E27" s="17" t="s">
        <v>111</v>
      </c>
      <c r="F27" s="16" t="n">
        <v>10</v>
      </c>
      <c r="G27" s="44" t="n">
        <v>1199</v>
      </c>
      <c r="H27" s="44" t="n">
        <f aca="false">F27*G27</f>
        <v>11990</v>
      </c>
      <c r="I27" s="15" t="s">
        <v>112</v>
      </c>
      <c r="J27" s="17" t="str">
        <f aca="false">IFERROR(_xlfn.XLOOKUP(I27,EmployeeTable[Employee ID],EmployeeTable[Employee Name],"Not found"),IFERROR(INDEX(EmployeeTable[Employee Name],MATCH(I27,EmployeeTable[Employee ID],0)),"Not found"))</f>
        <v>Meera Singh</v>
      </c>
      <c r="K27" s="15" t="s">
        <v>17</v>
      </c>
      <c r="L27" s="30" t="n">
        <v>46268</v>
      </c>
      <c r="M27" s="30" t="n">
        <v>46267</v>
      </c>
      <c r="N27" s="33" t="str">
        <f aca="true">IF(AND(OR(K27="Pending",K27="Processing"),L27&lt;TODAY()),"Overdue","On Track")</f>
        <v>On Track</v>
      </c>
    </row>
    <row r="28" customFormat="false" ht="15" hidden="false" customHeight="false" outlineLevel="0" collapsed="false">
      <c r="A28" s="12" t="s">
        <v>162</v>
      </c>
      <c r="B28" s="26" t="n">
        <v>46249</v>
      </c>
      <c r="C28" s="14" t="s">
        <v>92</v>
      </c>
      <c r="D28" s="12" t="s">
        <v>115</v>
      </c>
      <c r="E28" s="14" t="s">
        <v>116</v>
      </c>
      <c r="F28" s="13" t="n">
        <v>8</v>
      </c>
      <c r="G28" s="41" t="n">
        <v>2499</v>
      </c>
      <c r="H28" s="41" t="n">
        <f aca="false">F28*G28</f>
        <v>19992</v>
      </c>
      <c r="I28" s="12" t="s">
        <v>117</v>
      </c>
      <c r="J28" s="14" t="str">
        <f aca="false">IFERROR(_xlfn.XLOOKUP(I28,EmployeeTable[Employee ID],EmployeeTable[Employee Name],"Not found"),IFERROR(INDEX(EmployeeTable[Employee Name],MATCH(I28,EmployeeTable[Employee ID],0)),"Not found"))</f>
        <v>Ishaan Gupta</v>
      </c>
      <c r="K28" s="12" t="s">
        <v>25</v>
      </c>
      <c r="L28" s="26" t="n">
        <v>46252</v>
      </c>
      <c r="M28" s="26"/>
      <c r="N28" s="29" t="str">
        <f aca="true">IF(AND(OR(K28="Pending",K28="Processing"),L28&lt;TODAY()),"Overdue","On Track")</f>
        <v>Overdue</v>
      </c>
    </row>
    <row r="29" customFormat="false" ht="15" hidden="false" customHeight="false" outlineLevel="0" collapsed="false">
      <c r="A29" s="15" t="s">
        <v>163</v>
      </c>
      <c r="B29" s="30" t="n">
        <v>46312</v>
      </c>
      <c r="C29" s="17" t="s">
        <v>98</v>
      </c>
      <c r="D29" s="15" t="s">
        <v>121</v>
      </c>
      <c r="E29" s="17" t="s">
        <v>122</v>
      </c>
      <c r="F29" s="16" t="n">
        <v>3</v>
      </c>
      <c r="G29" s="44" t="n">
        <v>1799</v>
      </c>
      <c r="H29" s="44" t="n">
        <f aca="false">F29*G29</f>
        <v>5397</v>
      </c>
      <c r="I29" s="15" t="s">
        <v>123</v>
      </c>
      <c r="J29" s="17" t="str">
        <f aca="false">IFERROR(_xlfn.XLOOKUP(I29,EmployeeTable[Employee ID],EmployeeTable[Employee Name],"Not found"),IFERROR(INDEX(EmployeeTable[Employee Name],MATCH(I29,EmployeeTable[Employee ID],0)),"Not found"))</f>
        <v>Ananya Rao</v>
      </c>
      <c r="K29" s="15" t="s">
        <v>25</v>
      </c>
      <c r="L29" s="30" t="n">
        <v>46319</v>
      </c>
      <c r="M29" s="30"/>
      <c r="N29" s="33" t="str">
        <f aca="true">IF(AND(OR(K29="Pending",K29="Processing"),L29&lt;TODAY()),"Overdue","On Track")</f>
        <v>On Track</v>
      </c>
    </row>
    <row r="30" customFormat="false" ht="15" hidden="false" customHeight="false" outlineLevel="0" collapsed="false">
      <c r="A30" s="12" t="s">
        <v>164</v>
      </c>
      <c r="B30" s="26" t="n">
        <v>46260</v>
      </c>
      <c r="C30" s="14" t="s">
        <v>104</v>
      </c>
      <c r="D30" s="12" t="s">
        <v>127</v>
      </c>
      <c r="E30" s="14" t="s">
        <v>128</v>
      </c>
      <c r="F30" s="13" t="n">
        <v>10</v>
      </c>
      <c r="G30" s="41" t="n">
        <v>999</v>
      </c>
      <c r="H30" s="41" t="n">
        <f aca="false">F30*G30</f>
        <v>9990</v>
      </c>
      <c r="I30" s="12" t="s">
        <v>129</v>
      </c>
      <c r="J30" s="14" t="str">
        <f aca="false">IFERROR(_xlfn.XLOOKUP(I30,EmployeeTable[Employee ID],EmployeeTable[Employee Name],"Not found"),IFERROR(INDEX(EmployeeTable[Employee Name],MATCH(I30,EmployeeTable[Employee ID],0)),"Not found"))</f>
        <v>Rohan Das</v>
      </c>
      <c r="K30" s="12" t="s">
        <v>17</v>
      </c>
      <c r="L30" s="26" t="n">
        <v>46263</v>
      </c>
      <c r="M30" s="26" t="n">
        <v>46264</v>
      </c>
      <c r="N30" s="29" t="str">
        <f aca="true">IF(AND(OR(K30="Pending",K30="Processing"),L30&lt;TODAY()),"Overdue","On Track")</f>
        <v>On Track</v>
      </c>
    </row>
    <row r="31" customFormat="false" ht="15" hidden="false" customHeight="false" outlineLevel="0" collapsed="false">
      <c r="A31" s="15" t="s">
        <v>165</v>
      </c>
      <c r="B31" s="30" t="n">
        <v>46255</v>
      </c>
      <c r="C31" s="17" t="s">
        <v>109</v>
      </c>
      <c r="D31" s="15" t="s">
        <v>133</v>
      </c>
      <c r="E31" s="17" t="s">
        <v>134</v>
      </c>
      <c r="F31" s="16" t="n">
        <v>9</v>
      </c>
      <c r="G31" s="44" t="n">
        <v>249</v>
      </c>
      <c r="H31" s="44" t="n">
        <f aca="false">F31*G31</f>
        <v>2241</v>
      </c>
      <c r="I31" s="15" t="s">
        <v>135</v>
      </c>
      <c r="J31" s="17" t="str">
        <f aca="false">IFERROR(_xlfn.XLOOKUP(I31,EmployeeTable[Employee ID],EmployeeTable[Employee Name],"Not found"),IFERROR(INDEX(EmployeeTable[Employee Name],MATCH(I31,EmployeeTable[Employee ID],0)),"Not found"))</f>
        <v>Sana Khan</v>
      </c>
      <c r="K31" s="15" t="s">
        <v>31</v>
      </c>
      <c r="L31" s="30" t="n">
        <v>46261</v>
      </c>
      <c r="M31" s="30" t="n">
        <v>46260</v>
      </c>
      <c r="N31" s="33" t="str">
        <f aca="true">IF(AND(OR(K31="Pending",K31="Processing"),L31&lt;TODAY()),"Overdue","On Track")</f>
        <v>On Track</v>
      </c>
    </row>
    <row r="32" customFormat="false" ht="15" hidden="false" customHeight="false" outlineLevel="0" collapsed="false">
      <c r="A32" s="12" t="s">
        <v>166</v>
      </c>
      <c r="B32" s="26" t="n">
        <v>46227</v>
      </c>
      <c r="C32" s="14" t="s">
        <v>114</v>
      </c>
      <c r="D32" s="12" t="s">
        <v>138</v>
      </c>
      <c r="E32" s="14" t="s">
        <v>139</v>
      </c>
      <c r="F32" s="13" t="n">
        <v>12</v>
      </c>
      <c r="G32" s="41" t="n">
        <v>199</v>
      </c>
      <c r="H32" s="41" t="n">
        <f aca="false">F32*G32</f>
        <v>2388</v>
      </c>
      <c r="I32" s="12" t="s">
        <v>140</v>
      </c>
      <c r="J32" s="14" t="str">
        <f aca="false">IFERROR(_xlfn.XLOOKUP(I32,EmployeeTable[Employee ID],EmployeeTable[Employee Name],"Not found"),IFERROR(INDEX(EmployeeTable[Employee Name],MATCH(I32,EmployeeTable[Employee ID],0)),"Not found"))</f>
        <v>Vivaan Joshi</v>
      </c>
      <c r="K32" s="12" t="s">
        <v>25</v>
      </c>
      <c r="L32" s="26" t="n">
        <v>46230</v>
      </c>
      <c r="M32" s="26"/>
      <c r="N32" s="29" t="str">
        <f aca="true">IF(AND(OR(K32="Pending",K32="Processing"),L32&lt;TODAY()),"Overdue","On Track")</f>
        <v>Overdue</v>
      </c>
    </row>
    <row r="33" customFormat="false" ht="15" hidden="false" customHeight="false" outlineLevel="0" collapsed="false">
      <c r="A33" s="15" t="s">
        <v>167</v>
      </c>
      <c r="B33" s="30" t="n">
        <v>46246</v>
      </c>
      <c r="C33" s="17" t="s">
        <v>120</v>
      </c>
      <c r="D33" s="15" t="s">
        <v>143</v>
      </c>
      <c r="E33" s="17" t="s">
        <v>144</v>
      </c>
      <c r="F33" s="16" t="n">
        <v>5</v>
      </c>
      <c r="G33" s="44" t="n">
        <v>4999</v>
      </c>
      <c r="H33" s="44" t="n">
        <f aca="false">F33*G33</f>
        <v>24995</v>
      </c>
      <c r="I33" s="15" t="s">
        <v>145</v>
      </c>
      <c r="J33" s="17" t="str">
        <f aca="false">IFERROR(_xlfn.XLOOKUP(I33,EmployeeTable[Employee ID],EmployeeTable[Employee Name],"Not found"),IFERROR(INDEX(EmployeeTable[Employee Name],MATCH(I33,EmployeeTable[Employee ID],0)),"Not found"))</f>
        <v>Ira Nair</v>
      </c>
      <c r="K33" s="15" t="s">
        <v>17</v>
      </c>
      <c r="L33" s="30" t="n">
        <v>46253</v>
      </c>
      <c r="M33" s="30" t="n">
        <v>46253</v>
      </c>
      <c r="N33" s="33" t="str">
        <f aca="true">IF(AND(OR(K33="Pending",K33="Processing"),L33&lt;TODAY()),"Overdue","On Track")</f>
        <v>On Track</v>
      </c>
    </row>
    <row r="34" customFormat="false" ht="15" hidden="false" customHeight="false" outlineLevel="0" collapsed="false">
      <c r="A34" s="12" t="s">
        <v>168</v>
      </c>
      <c r="B34" s="26" t="n">
        <v>46294</v>
      </c>
      <c r="C34" s="14" t="s">
        <v>126</v>
      </c>
      <c r="D34" s="12" t="s">
        <v>93</v>
      </c>
      <c r="E34" s="14" t="s">
        <v>94</v>
      </c>
      <c r="F34" s="13" t="n">
        <v>8</v>
      </c>
      <c r="G34" s="41" t="n">
        <v>499</v>
      </c>
      <c r="H34" s="41" t="n">
        <f aca="false">F34*G34</f>
        <v>3992</v>
      </c>
      <c r="I34" s="12" t="s">
        <v>95</v>
      </c>
      <c r="J34" s="14" t="str">
        <f aca="false">IFERROR(_xlfn.XLOOKUP(I34,EmployeeTable[Employee ID],EmployeeTable[Employee Name],"Not found"),IFERROR(INDEX(EmployeeTable[Employee Name],MATCH(I34,EmployeeTable[Employee ID],0)),"Not found"))</f>
        <v>Aarav Sharma</v>
      </c>
      <c r="K34" s="12" t="s">
        <v>31</v>
      </c>
      <c r="L34" s="26" t="n">
        <v>46296</v>
      </c>
      <c r="M34" s="26" t="n">
        <v>46297</v>
      </c>
      <c r="N34" s="29" t="str">
        <f aca="true">IF(AND(OR(K34="Pending",K34="Processing"),L34&lt;TODAY()),"Overdue","On Track")</f>
        <v>On Track</v>
      </c>
    </row>
    <row r="35" customFormat="false" ht="15" hidden="false" customHeight="false" outlineLevel="0" collapsed="false">
      <c r="A35" s="15" t="s">
        <v>169</v>
      </c>
      <c r="B35" s="30" t="n">
        <v>46250</v>
      </c>
      <c r="C35" s="17" t="s">
        <v>132</v>
      </c>
      <c r="D35" s="15" t="s">
        <v>99</v>
      </c>
      <c r="E35" s="17" t="s">
        <v>100</v>
      </c>
      <c r="F35" s="16" t="n">
        <v>3</v>
      </c>
      <c r="G35" s="44" t="n">
        <v>899</v>
      </c>
      <c r="H35" s="44" t="n">
        <f aca="false">F35*G35</f>
        <v>2697</v>
      </c>
      <c r="I35" s="15" t="s">
        <v>101</v>
      </c>
      <c r="J35" s="17" t="str">
        <f aca="false">IFERROR(_xlfn.XLOOKUP(I35,EmployeeTable[Employee ID],EmployeeTable[Employee Name],"Not found"),IFERROR(INDEX(EmployeeTable[Employee Name],MATCH(I35,EmployeeTable[Employee ID],0)),"Not found"))</f>
        <v>Diya Verma</v>
      </c>
      <c r="K35" s="15" t="s">
        <v>29</v>
      </c>
      <c r="L35" s="30" t="n">
        <v>46260</v>
      </c>
      <c r="M35" s="30"/>
      <c r="N35" s="33" t="str">
        <f aca="true">IF(AND(OR(K35="Pending",K35="Processing"),L35&lt;TODAY()),"Overdue","On Track")</f>
        <v>On Track</v>
      </c>
    </row>
    <row r="36" customFormat="false" ht="15" hidden="false" customHeight="false" outlineLevel="0" collapsed="false">
      <c r="A36" s="12" t="s">
        <v>170</v>
      </c>
      <c r="B36" s="26" t="n">
        <v>46234</v>
      </c>
      <c r="C36" s="14" t="s">
        <v>137</v>
      </c>
      <c r="D36" s="12" t="s">
        <v>105</v>
      </c>
      <c r="E36" s="14" t="s">
        <v>106</v>
      </c>
      <c r="F36" s="13" t="n">
        <v>5</v>
      </c>
      <c r="G36" s="41" t="n">
        <v>1499</v>
      </c>
      <c r="H36" s="41" t="n">
        <f aca="false">F36*G36</f>
        <v>7495</v>
      </c>
      <c r="I36" s="12" t="s">
        <v>107</v>
      </c>
      <c r="J36" s="14" t="str">
        <f aca="false">IFERROR(_xlfn.XLOOKUP(I36,EmployeeTable[Employee ID],EmployeeTable[Employee Name],"Not found"),IFERROR(INDEX(EmployeeTable[Employee Name],MATCH(I36,EmployeeTable[Employee ID],0)),"Not found"))</f>
        <v>Kabir Patel</v>
      </c>
      <c r="K36" s="12" t="s">
        <v>21</v>
      </c>
      <c r="L36" s="26" t="n">
        <v>46244</v>
      </c>
      <c r="M36" s="26"/>
      <c r="N36" s="29" t="str">
        <f aca="true">IF(AND(OR(K36="Pending",K36="Processing"),L36&lt;TODAY()),"Overdue","On Track")</f>
        <v>Overdue</v>
      </c>
    </row>
    <row r="37" customFormat="false" ht="15" hidden="false" customHeight="false" outlineLevel="0" collapsed="false">
      <c r="A37" s="15" t="s">
        <v>171</v>
      </c>
      <c r="B37" s="30" t="n">
        <v>46310</v>
      </c>
      <c r="C37" s="17" t="s">
        <v>142</v>
      </c>
      <c r="D37" s="15" t="s">
        <v>110</v>
      </c>
      <c r="E37" s="17" t="s">
        <v>111</v>
      </c>
      <c r="F37" s="16" t="n">
        <v>6</v>
      </c>
      <c r="G37" s="44" t="n">
        <v>1199</v>
      </c>
      <c r="H37" s="44" t="n">
        <f aca="false">F37*G37</f>
        <v>7194</v>
      </c>
      <c r="I37" s="15" t="s">
        <v>112</v>
      </c>
      <c r="J37" s="17" t="str">
        <f aca="false">IFERROR(_xlfn.XLOOKUP(I37,EmployeeTable[Employee ID],EmployeeTable[Employee Name],"Not found"),IFERROR(INDEX(EmployeeTable[Employee Name],MATCH(I37,EmployeeTable[Employee ID],0)),"Not found"))</f>
        <v>Meera Singh</v>
      </c>
      <c r="K37" s="15" t="s">
        <v>21</v>
      </c>
      <c r="L37" s="30" t="n">
        <v>46317</v>
      </c>
      <c r="M37" s="30"/>
      <c r="N37" s="33" t="str">
        <f aca="true">IF(AND(OR(K37="Pending",K37="Processing"),L37&lt;TODAY()),"Overdue","On Track")</f>
        <v>On Track</v>
      </c>
    </row>
    <row r="38" customFormat="false" ht="15" hidden="false" customHeight="false" outlineLevel="0" collapsed="false">
      <c r="A38" s="12" t="s">
        <v>172</v>
      </c>
      <c r="B38" s="26" t="n">
        <v>46247</v>
      </c>
      <c r="C38" s="14" t="s">
        <v>147</v>
      </c>
      <c r="D38" s="12" t="s">
        <v>115</v>
      </c>
      <c r="E38" s="14" t="s">
        <v>116</v>
      </c>
      <c r="F38" s="13" t="n">
        <v>1</v>
      </c>
      <c r="G38" s="41" t="n">
        <v>2499</v>
      </c>
      <c r="H38" s="41" t="n">
        <f aca="false">F38*G38</f>
        <v>2499</v>
      </c>
      <c r="I38" s="12" t="s">
        <v>117</v>
      </c>
      <c r="J38" s="14" t="str">
        <f aca="false">IFERROR(_xlfn.XLOOKUP(I38,EmployeeTable[Employee ID],EmployeeTable[Employee Name],"Not found"),IFERROR(INDEX(EmployeeTable[Employee Name],MATCH(I38,EmployeeTable[Employee ID],0)),"Not found"))</f>
        <v>Ishaan Gupta</v>
      </c>
      <c r="K38" s="12" t="s">
        <v>21</v>
      </c>
      <c r="L38" s="26" t="n">
        <v>46254</v>
      </c>
      <c r="M38" s="26"/>
      <c r="N38" s="29" t="str">
        <f aca="true">IF(AND(OR(K38="Pending",K38="Processing"),L38&lt;TODAY()),"Overdue","On Track")</f>
        <v>Overdue</v>
      </c>
    </row>
    <row r="39" customFormat="false" ht="15" hidden="false" customHeight="false" outlineLevel="0" collapsed="false">
      <c r="A39" s="15" t="s">
        <v>173</v>
      </c>
      <c r="B39" s="30" t="n">
        <v>46300</v>
      </c>
      <c r="C39" s="17" t="s">
        <v>149</v>
      </c>
      <c r="D39" s="15" t="s">
        <v>121</v>
      </c>
      <c r="E39" s="17" t="s">
        <v>122</v>
      </c>
      <c r="F39" s="16" t="n">
        <v>6</v>
      </c>
      <c r="G39" s="44" t="n">
        <v>1799</v>
      </c>
      <c r="H39" s="44" t="n">
        <f aca="false">F39*G39</f>
        <v>10794</v>
      </c>
      <c r="I39" s="15" t="s">
        <v>123</v>
      </c>
      <c r="J39" s="17" t="str">
        <f aca="false">IFERROR(_xlfn.XLOOKUP(I39,EmployeeTable[Employee ID],EmployeeTable[Employee Name],"Not found"),IFERROR(INDEX(EmployeeTable[Employee Name],MATCH(I39,EmployeeTable[Employee ID],0)),"Not found"))</f>
        <v>Ananya Rao</v>
      </c>
      <c r="K39" s="15" t="s">
        <v>17</v>
      </c>
      <c r="L39" s="30" t="n">
        <v>46306</v>
      </c>
      <c r="M39" s="30" t="n">
        <v>46305</v>
      </c>
      <c r="N39" s="33" t="str">
        <f aca="true">IF(AND(OR(K39="Pending",K39="Processing"),L39&lt;TODAY()),"Overdue","On Track")</f>
        <v>On Track</v>
      </c>
    </row>
    <row r="40" customFormat="false" ht="15" hidden="false" customHeight="false" outlineLevel="0" collapsed="false">
      <c r="A40" s="12" t="s">
        <v>174</v>
      </c>
      <c r="B40" s="26" t="n">
        <v>46313</v>
      </c>
      <c r="C40" s="14" t="s">
        <v>92</v>
      </c>
      <c r="D40" s="12" t="s">
        <v>127</v>
      </c>
      <c r="E40" s="14" t="s">
        <v>128</v>
      </c>
      <c r="F40" s="13" t="n">
        <v>2</v>
      </c>
      <c r="G40" s="41" t="n">
        <v>999</v>
      </c>
      <c r="H40" s="41" t="n">
        <f aca="false">F40*G40</f>
        <v>1998</v>
      </c>
      <c r="I40" s="12" t="s">
        <v>129</v>
      </c>
      <c r="J40" s="14" t="str">
        <f aca="false">IFERROR(_xlfn.XLOOKUP(I40,EmployeeTable[Employee ID],EmployeeTable[Employee Name],"Not found"),IFERROR(INDEX(EmployeeTable[Employee Name],MATCH(I40,EmployeeTable[Employee ID],0)),"Not found"))</f>
        <v>Rohan Das</v>
      </c>
      <c r="K40" s="12" t="s">
        <v>25</v>
      </c>
      <c r="L40" s="26" t="n">
        <v>46320</v>
      </c>
      <c r="M40" s="26"/>
      <c r="N40" s="29" t="str">
        <f aca="true">IF(AND(OR(K40="Pending",K40="Processing"),L40&lt;TODAY()),"Overdue","On Track")</f>
        <v>On Track</v>
      </c>
    </row>
    <row r="41" customFormat="false" ht="15" hidden="false" customHeight="false" outlineLevel="0" collapsed="false">
      <c r="A41" s="15" t="s">
        <v>175</v>
      </c>
      <c r="B41" s="30" t="n">
        <v>46306</v>
      </c>
      <c r="C41" s="17" t="s">
        <v>98</v>
      </c>
      <c r="D41" s="15" t="s">
        <v>133</v>
      </c>
      <c r="E41" s="17" t="s">
        <v>134</v>
      </c>
      <c r="F41" s="16" t="n">
        <v>9</v>
      </c>
      <c r="G41" s="44" t="n">
        <v>249</v>
      </c>
      <c r="H41" s="44" t="n">
        <f aca="false">F41*G41</f>
        <v>2241</v>
      </c>
      <c r="I41" s="15" t="s">
        <v>135</v>
      </c>
      <c r="J41" s="17" t="str">
        <f aca="false">IFERROR(_xlfn.XLOOKUP(I41,EmployeeTable[Employee ID],EmployeeTable[Employee Name],"Not found"),IFERROR(INDEX(EmployeeTable[Employee Name],MATCH(I41,EmployeeTable[Employee ID],0)),"Not found"))</f>
        <v>Sana Khan</v>
      </c>
      <c r="K41" s="15" t="s">
        <v>17</v>
      </c>
      <c r="L41" s="30" t="n">
        <v>46310</v>
      </c>
      <c r="M41" s="30" t="n">
        <v>46310</v>
      </c>
      <c r="N41" s="33" t="str">
        <f aca="true">IF(AND(OR(K41="Pending",K41="Processing"),L41&lt;TODAY()),"Overdue","On Track")</f>
        <v>On Track</v>
      </c>
    </row>
    <row r="42" customFormat="false" ht="15" hidden="false" customHeight="false" outlineLevel="0" collapsed="false">
      <c r="A42" s="12" t="s">
        <v>176</v>
      </c>
      <c r="B42" s="26" t="n">
        <v>46244</v>
      </c>
      <c r="C42" s="14" t="s">
        <v>104</v>
      </c>
      <c r="D42" s="12" t="s">
        <v>138</v>
      </c>
      <c r="E42" s="14" t="s">
        <v>139</v>
      </c>
      <c r="F42" s="13" t="n">
        <v>3</v>
      </c>
      <c r="G42" s="41" t="n">
        <v>199</v>
      </c>
      <c r="H42" s="41" t="n">
        <f aca="false">F42*G42</f>
        <v>597</v>
      </c>
      <c r="I42" s="12" t="s">
        <v>140</v>
      </c>
      <c r="J42" s="14" t="str">
        <f aca="false">IFERROR(_xlfn.XLOOKUP(I42,EmployeeTable[Employee ID],EmployeeTable[Employee Name],"Not found"),IFERROR(INDEX(EmployeeTable[Employee Name],MATCH(I42,EmployeeTable[Employee ID],0)),"Not found"))</f>
        <v>Vivaan Joshi</v>
      </c>
      <c r="K42" s="12" t="s">
        <v>21</v>
      </c>
      <c r="L42" s="26" t="n">
        <v>46250</v>
      </c>
      <c r="M42" s="26"/>
      <c r="N42" s="29" t="str">
        <f aca="true">IF(AND(OR(K42="Pending",K42="Processing"),L42&lt;TODAY()),"Overdue","On Track")</f>
        <v>Overdue</v>
      </c>
    </row>
    <row r="43" customFormat="false" ht="15" hidden="false" customHeight="false" outlineLevel="0" collapsed="false">
      <c r="A43" s="15" t="s">
        <v>177</v>
      </c>
      <c r="B43" s="30" t="n">
        <v>46237</v>
      </c>
      <c r="C43" s="17" t="s">
        <v>109</v>
      </c>
      <c r="D43" s="15" t="s">
        <v>143</v>
      </c>
      <c r="E43" s="17" t="s">
        <v>144</v>
      </c>
      <c r="F43" s="16" t="n">
        <v>7</v>
      </c>
      <c r="G43" s="44" t="n">
        <v>4999</v>
      </c>
      <c r="H43" s="44" t="n">
        <f aca="false">F43*G43</f>
        <v>34993</v>
      </c>
      <c r="I43" s="15" t="s">
        <v>145</v>
      </c>
      <c r="J43" s="17" t="str">
        <f aca="false">IFERROR(_xlfn.XLOOKUP(I43,EmployeeTable[Employee ID],EmployeeTable[Employee Name],"Not found"),IFERROR(INDEX(EmployeeTable[Employee Name],MATCH(I43,EmployeeTable[Employee ID],0)),"Not found"))</f>
        <v>Ira Nair</v>
      </c>
      <c r="K43" s="15" t="s">
        <v>31</v>
      </c>
      <c r="L43" s="30" t="n">
        <v>46242</v>
      </c>
      <c r="M43" s="30" t="n">
        <v>46242</v>
      </c>
      <c r="N43" s="33" t="str">
        <f aca="true">IF(AND(OR(K43="Pending",K43="Processing"),L43&lt;TODAY()),"Overdue","On Track")</f>
        <v>On Track</v>
      </c>
    </row>
    <row r="44" customFormat="false" ht="15" hidden="false" customHeight="false" outlineLevel="0" collapsed="false">
      <c r="A44" s="12" t="s">
        <v>178</v>
      </c>
      <c r="B44" s="26" t="n">
        <v>46275</v>
      </c>
      <c r="C44" s="14" t="s">
        <v>114</v>
      </c>
      <c r="D44" s="12" t="s">
        <v>93</v>
      </c>
      <c r="E44" s="14" t="s">
        <v>94</v>
      </c>
      <c r="F44" s="13" t="n">
        <v>7</v>
      </c>
      <c r="G44" s="41" t="n">
        <v>499</v>
      </c>
      <c r="H44" s="41" t="n">
        <f aca="false">F44*G44</f>
        <v>3493</v>
      </c>
      <c r="I44" s="12" t="s">
        <v>95</v>
      </c>
      <c r="J44" s="14" t="str">
        <f aca="false">IFERROR(_xlfn.XLOOKUP(I44,EmployeeTable[Employee ID],EmployeeTable[Employee Name],"Not found"),IFERROR(INDEX(EmployeeTable[Employee Name],MATCH(I44,EmployeeTable[Employee ID],0)),"Not found"))</f>
        <v>Aarav Sharma</v>
      </c>
      <c r="K44" s="12" t="s">
        <v>17</v>
      </c>
      <c r="L44" s="26" t="n">
        <v>46282</v>
      </c>
      <c r="M44" s="26" t="n">
        <v>46283</v>
      </c>
      <c r="N44" s="29" t="str">
        <f aca="true">IF(AND(OR(K44="Pending",K44="Processing"),L44&lt;TODAY()),"Overdue","On Track")</f>
        <v>On Track</v>
      </c>
    </row>
    <row r="45" customFormat="false" ht="15" hidden="false" customHeight="false" outlineLevel="0" collapsed="false">
      <c r="A45" s="15" t="s">
        <v>179</v>
      </c>
      <c r="B45" s="30" t="n">
        <v>46257</v>
      </c>
      <c r="C45" s="17" t="s">
        <v>120</v>
      </c>
      <c r="D45" s="15" t="s">
        <v>99</v>
      </c>
      <c r="E45" s="17" t="s">
        <v>100</v>
      </c>
      <c r="F45" s="16" t="n">
        <v>2</v>
      </c>
      <c r="G45" s="44" t="n">
        <v>899</v>
      </c>
      <c r="H45" s="44" t="n">
        <f aca="false">F45*G45</f>
        <v>1798</v>
      </c>
      <c r="I45" s="15" t="s">
        <v>101</v>
      </c>
      <c r="J45" s="17" t="str">
        <f aca="false">IFERROR(_xlfn.XLOOKUP(I45,EmployeeTable[Employee ID],EmployeeTable[Employee Name],"Not found"),IFERROR(INDEX(EmployeeTable[Employee Name],MATCH(I45,EmployeeTable[Employee ID],0)),"Not found"))</f>
        <v>Diya Verma</v>
      </c>
      <c r="K45" s="15" t="s">
        <v>17</v>
      </c>
      <c r="L45" s="30" t="n">
        <v>46262</v>
      </c>
      <c r="M45" s="30" t="n">
        <v>46262</v>
      </c>
      <c r="N45" s="33" t="str">
        <f aca="true">IF(AND(OR(K45="Pending",K45="Processing"),L45&lt;TODAY()),"Overdue","On Track")</f>
        <v>On Track</v>
      </c>
    </row>
    <row r="46" customFormat="false" ht="15" hidden="false" customHeight="false" outlineLevel="0" collapsed="false">
      <c r="A46" s="12" t="s">
        <v>180</v>
      </c>
      <c r="B46" s="26" t="n">
        <v>46312</v>
      </c>
      <c r="C46" s="14" t="s">
        <v>126</v>
      </c>
      <c r="D46" s="12" t="s">
        <v>105</v>
      </c>
      <c r="E46" s="14" t="s">
        <v>106</v>
      </c>
      <c r="F46" s="13" t="n">
        <v>10</v>
      </c>
      <c r="G46" s="41" t="n">
        <v>1499</v>
      </c>
      <c r="H46" s="41" t="n">
        <f aca="false">F46*G46</f>
        <v>14990</v>
      </c>
      <c r="I46" s="12" t="s">
        <v>107</v>
      </c>
      <c r="J46" s="14" t="str">
        <f aca="false">IFERROR(_xlfn.XLOOKUP(I46,EmployeeTable[Employee ID],EmployeeTable[Employee Name],"Not found"),IFERROR(INDEX(EmployeeTable[Employee Name],MATCH(I46,EmployeeTable[Employee ID],0)),"Not found"))</f>
        <v>Kabir Patel</v>
      </c>
      <c r="K46" s="12" t="s">
        <v>17</v>
      </c>
      <c r="L46" s="26" t="n">
        <v>46322</v>
      </c>
      <c r="M46" s="26" t="n">
        <v>46321</v>
      </c>
      <c r="N46" s="29" t="str">
        <f aca="true">IF(AND(OR(K46="Pending",K46="Processing"),L46&lt;TODAY()),"Overdue","On Track")</f>
        <v>On Track</v>
      </c>
    </row>
    <row r="47" customFormat="false" ht="15" hidden="false" customHeight="false" outlineLevel="0" collapsed="false">
      <c r="A47" s="15" t="s">
        <v>181</v>
      </c>
      <c r="B47" s="30" t="n">
        <v>46314</v>
      </c>
      <c r="C47" s="17" t="s">
        <v>132</v>
      </c>
      <c r="D47" s="15" t="s">
        <v>110</v>
      </c>
      <c r="E47" s="17" t="s">
        <v>111</v>
      </c>
      <c r="F47" s="16" t="n">
        <v>2</v>
      </c>
      <c r="G47" s="44" t="n">
        <v>1199</v>
      </c>
      <c r="H47" s="44" t="n">
        <f aca="false">F47*G47</f>
        <v>2398</v>
      </c>
      <c r="I47" s="15" t="s">
        <v>112</v>
      </c>
      <c r="J47" s="17" t="str">
        <f aca="false">IFERROR(_xlfn.XLOOKUP(I47,EmployeeTable[Employee ID],EmployeeTable[Employee Name],"Not found"),IFERROR(INDEX(EmployeeTable[Employee Name],MATCH(I47,EmployeeTable[Employee ID],0)),"Not found"))</f>
        <v>Meera Singh</v>
      </c>
      <c r="K47" s="15" t="s">
        <v>17</v>
      </c>
      <c r="L47" s="30" t="n">
        <v>46316</v>
      </c>
      <c r="M47" s="30" t="n">
        <v>46314</v>
      </c>
      <c r="N47" s="33" t="str">
        <f aca="true">IF(AND(OR(K47="Pending",K47="Processing"),L47&lt;TODAY()),"Overdue","On Track")</f>
        <v>On Track</v>
      </c>
    </row>
    <row r="48" customFormat="false" ht="15" hidden="false" customHeight="false" outlineLevel="0" collapsed="false">
      <c r="A48" s="12" t="s">
        <v>182</v>
      </c>
      <c r="B48" s="26" t="n">
        <v>46272</v>
      </c>
      <c r="C48" s="14" t="s">
        <v>137</v>
      </c>
      <c r="D48" s="12" t="s">
        <v>115</v>
      </c>
      <c r="E48" s="14" t="s">
        <v>116</v>
      </c>
      <c r="F48" s="13" t="n">
        <v>2</v>
      </c>
      <c r="G48" s="41" t="n">
        <v>2499</v>
      </c>
      <c r="H48" s="41" t="n">
        <f aca="false">F48*G48</f>
        <v>4998</v>
      </c>
      <c r="I48" s="12" t="s">
        <v>117</v>
      </c>
      <c r="J48" s="14" t="str">
        <f aca="false">IFERROR(_xlfn.XLOOKUP(I48,EmployeeTable[Employee ID],EmployeeTable[Employee Name],"Not found"),IFERROR(INDEX(EmployeeTable[Employee Name],MATCH(I48,EmployeeTable[Employee ID],0)),"Not found"))</f>
        <v>Ishaan Gupta</v>
      </c>
      <c r="K48" s="12" t="s">
        <v>17</v>
      </c>
      <c r="L48" s="26" t="n">
        <v>46282</v>
      </c>
      <c r="M48" s="26" t="n">
        <v>46284</v>
      </c>
      <c r="N48" s="29" t="str">
        <f aca="true">IF(AND(OR(K48="Pending",K48="Processing"),L48&lt;TODAY()),"Overdue","On Track")</f>
        <v>On Track</v>
      </c>
    </row>
    <row r="49" customFormat="false" ht="15" hidden="false" customHeight="false" outlineLevel="0" collapsed="false">
      <c r="A49" s="15" t="s">
        <v>183</v>
      </c>
      <c r="B49" s="30" t="n">
        <v>46252</v>
      </c>
      <c r="C49" s="17" t="s">
        <v>142</v>
      </c>
      <c r="D49" s="15" t="s">
        <v>121</v>
      </c>
      <c r="E49" s="17" t="s">
        <v>122</v>
      </c>
      <c r="F49" s="16" t="n">
        <v>4</v>
      </c>
      <c r="G49" s="44" t="n">
        <v>1799</v>
      </c>
      <c r="H49" s="44" t="n">
        <f aca="false">F49*G49</f>
        <v>7196</v>
      </c>
      <c r="I49" s="15" t="s">
        <v>123</v>
      </c>
      <c r="J49" s="17" t="str">
        <f aca="false">IFERROR(_xlfn.XLOOKUP(I49,EmployeeTable[Employee ID],EmployeeTable[Employee Name],"Not found"),IFERROR(INDEX(EmployeeTable[Employee Name],MATCH(I49,EmployeeTable[Employee ID],0)),"Not found"))</f>
        <v>Ananya Rao</v>
      </c>
      <c r="K49" s="15" t="s">
        <v>17</v>
      </c>
      <c r="L49" s="30" t="n">
        <v>46262</v>
      </c>
      <c r="M49" s="30" t="n">
        <v>46263</v>
      </c>
      <c r="N49" s="33" t="str">
        <f aca="true">IF(AND(OR(K49="Pending",K49="Processing"),L49&lt;TODAY()),"Overdue","On Track")</f>
        <v>On Track</v>
      </c>
    </row>
    <row r="50" customFormat="false" ht="15" hidden="false" customHeight="false" outlineLevel="0" collapsed="false">
      <c r="A50" s="12" t="s">
        <v>184</v>
      </c>
      <c r="B50" s="26" t="n">
        <v>46241</v>
      </c>
      <c r="C50" s="14" t="s">
        <v>147</v>
      </c>
      <c r="D50" s="12" t="s">
        <v>127</v>
      </c>
      <c r="E50" s="14" t="s">
        <v>128</v>
      </c>
      <c r="F50" s="13" t="n">
        <v>8</v>
      </c>
      <c r="G50" s="41" t="n">
        <v>999</v>
      </c>
      <c r="H50" s="41" t="n">
        <f aca="false">F50*G50</f>
        <v>7992</v>
      </c>
      <c r="I50" s="12" t="s">
        <v>129</v>
      </c>
      <c r="J50" s="14" t="str">
        <f aca="false">IFERROR(_xlfn.XLOOKUP(I50,EmployeeTable[Employee ID],EmployeeTable[Employee Name],"Not found"),IFERROR(INDEX(EmployeeTable[Employee Name],MATCH(I50,EmployeeTable[Employee ID],0)),"Not found"))</f>
        <v>Rohan Das</v>
      </c>
      <c r="K50" s="12" t="s">
        <v>25</v>
      </c>
      <c r="L50" s="26" t="n">
        <v>46246</v>
      </c>
      <c r="M50" s="26"/>
      <c r="N50" s="29" t="str">
        <f aca="true">IF(AND(OR(K50="Pending",K50="Processing"),L50&lt;TODAY()),"Overdue","On Track")</f>
        <v>Overdue</v>
      </c>
    </row>
    <row r="51" customFormat="false" ht="15" hidden="false" customHeight="false" outlineLevel="0" collapsed="false">
      <c r="A51" s="15" t="s">
        <v>185</v>
      </c>
      <c r="B51" s="30" t="n">
        <v>46262</v>
      </c>
      <c r="C51" s="17" t="s">
        <v>149</v>
      </c>
      <c r="D51" s="15" t="s">
        <v>133</v>
      </c>
      <c r="E51" s="17" t="s">
        <v>134</v>
      </c>
      <c r="F51" s="16" t="n">
        <v>4</v>
      </c>
      <c r="G51" s="44" t="n">
        <v>249</v>
      </c>
      <c r="H51" s="44" t="n">
        <f aca="false">F51*G51</f>
        <v>996</v>
      </c>
      <c r="I51" s="15" t="s">
        <v>135</v>
      </c>
      <c r="J51" s="17" t="str">
        <f aca="false">IFERROR(_xlfn.XLOOKUP(I51,EmployeeTable[Employee ID],EmployeeTable[Employee Name],"Not found"),IFERROR(INDEX(EmployeeTable[Employee Name],MATCH(I51,EmployeeTable[Employee ID],0)),"Not found"))</f>
        <v>Sana Khan</v>
      </c>
      <c r="K51" s="15" t="s">
        <v>17</v>
      </c>
      <c r="L51" s="30" t="n">
        <v>46265</v>
      </c>
      <c r="M51" s="30" t="n">
        <v>46265</v>
      </c>
      <c r="N51" s="33" t="str">
        <f aca="true">IF(AND(OR(K51="Pending",K51="Processing"),L51&lt;TODAY()),"Overdue","On Track")</f>
        <v>On Track</v>
      </c>
    </row>
    <row r="52" customFormat="false" ht="15" hidden="false" customHeight="false" outlineLevel="0" collapsed="false">
      <c r="A52" s="12" t="s">
        <v>186</v>
      </c>
      <c r="B52" s="26" t="n">
        <v>46269</v>
      </c>
      <c r="C52" s="14" t="s">
        <v>92</v>
      </c>
      <c r="D52" s="12" t="s">
        <v>138</v>
      </c>
      <c r="E52" s="14" t="s">
        <v>139</v>
      </c>
      <c r="F52" s="13" t="n">
        <v>7</v>
      </c>
      <c r="G52" s="41" t="n">
        <v>199</v>
      </c>
      <c r="H52" s="41" t="n">
        <f aca="false">F52*G52</f>
        <v>1393</v>
      </c>
      <c r="I52" s="12" t="s">
        <v>140</v>
      </c>
      <c r="J52" s="14" t="str">
        <f aca="false">IFERROR(_xlfn.XLOOKUP(I52,EmployeeTable[Employee ID],EmployeeTable[Employee Name],"Not found"),IFERROR(INDEX(EmployeeTable[Employee Name],MATCH(I52,EmployeeTable[Employee ID],0)),"Not found"))</f>
        <v>Vivaan Joshi</v>
      </c>
      <c r="K52" s="12" t="s">
        <v>17</v>
      </c>
      <c r="L52" s="26" t="n">
        <v>46277</v>
      </c>
      <c r="M52" s="26" t="n">
        <v>46279</v>
      </c>
      <c r="N52" s="29" t="str">
        <f aca="true">IF(AND(OR(K52="Pending",K52="Processing"),L52&lt;TODAY()),"Overdue","On Track")</f>
        <v>On Track</v>
      </c>
    </row>
    <row r="53" customFormat="false" ht="15" hidden="false" customHeight="false" outlineLevel="0" collapsed="false">
      <c r="A53" s="15" t="s">
        <v>187</v>
      </c>
      <c r="B53" s="30" t="n">
        <v>46308</v>
      </c>
      <c r="C53" s="17" t="s">
        <v>98</v>
      </c>
      <c r="D53" s="15" t="s">
        <v>143</v>
      </c>
      <c r="E53" s="17" t="s">
        <v>144</v>
      </c>
      <c r="F53" s="16" t="n">
        <v>11</v>
      </c>
      <c r="G53" s="44" t="n">
        <v>4999</v>
      </c>
      <c r="H53" s="44" t="n">
        <f aca="false">F53*G53</f>
        <v>54989</v>
      </c>
      <c r="I53" s="15" t="s">
        <v>145</v>
      </c>
      <c r="J53" s="17" t="str">
        <f aca="false">IFERROR(_xlfn.XLOOKUP(I53,EmployeeTable[Employee ID],EmployeeTable[Employee Name],"Not found"),IFERROR(INDEX(EmployeeTable[Employee Name],MATCH(I53,EmployeeTable[Employee ID],0)),"Not found"))</f>
        <v>Ira Nair</v>
      </c>
      <c r="K53" s="15" t="s">
        <v>17</v>
      </c>
      <c r="L53" s="30" t="n">
        <v>46311</v>
      </c>
      <c r="M53" s="30" t="n">
        <v>46313</v>
      </c>
      <c r="N53" s="33" t="str">
        <f aca="true">IF(AND(OR(K53="Pending",K53="Processing"),L53&lt;TODAY()),"Overdue","On Track")</f>
        <v>On Track</v>
      </c>
    </row>
    <row r="54" customFormat="false" ht="15" hidden="false" customHeight="false" outlineLevel="0" collapsed="false">
      <c r="A54" s="12" t="s">
        <v>188</v>
      </c>
      <c r="B54" s="26" t="n">
        <v>46271</v>
      </c>
      <c r="C54" s="14" t="s">
        <v>104</v>
      </c>
      <c r="D54" s="12" t="s">
        <v>93</v>
      </c>
      <c r="E54" s="14" t="s">
        <v>94</v>
      </c>
      <c r="F54" s="13" t="n">
        <v>2</v>
      </c>
      <c r="G54" s="41" t="n">
        <v>499</v>
      </c>
      <c r="H54" s="41" t="n">
        <f aca="false">F54*G54</f>
        <v>998</v>
      </c>
      <c r="I54" s="12" t="s">
        <v>95</v>
      </c>
      <c r="J54" s="14" t="str">
        <f aca="false">IFERROR(_xlfn.XLOOKUP(I54,EmployeeTable[Employee ID],EmployeeTable[Employee Name],"Not found"),IFERROR(INDEX(EmployeeTable[Employee Name],MATCH(I54,EmployeeTable[Employee ID],0)),"Not found"))</f>
        <v>Aarav Sharma</v>
      </c>
      <c r="K54" s="12" t="s">
        <v>17</v>
      </c>
      <c r="L54" s="26" t="n">
        <v>46276</v>
      </c>
      <c r="M54" s="26" t="n">
        <v>46277</v>
      </c>
      <c r="N54" s="29" t="str">
        <f aca="true">IF(AND(OR(K54="Pending",K54="Processing"),L54&lt;TODAY()),"Overdue","On Track")</f>
        <v>On Track</v>
      </c>
    </row>
    <row r="55" customFormat="false" ht="15" hidden="false" customHeight="false" outlineLevel="0" collapsed="false">
      <c r="A55" s="15" t="s">
        <v>189</v>
      </c>
      <c r="B55" s="30" t="n">
        <v>46257</v>
      </c>
      <c r="C55" s="17" t="s">
        <v>109</v>
      </c>
      <c r="D55" s="15" t="s">
        <v>99</v>
      </c>
      <c r="E55" s="17" t="s">
        <v>100</v>
      </c>
      <c r="F55" s="16" t="n">
        <v>3</v>
      </c>
      <c r="G55" s="44" t="n">
        <v>899</v>
      </c>
      <c r="H55" s="44" t="n">
        <f aca="false">F55*G55</f>
        <v>2697</v>
      </c>
      <c r="I55" s="15" t="s">
        <v>101</v>
      </c>
      <c r="J55" s="17" t="str">
        <f aca="false">IFERROR(_xlfn.XLOOKUP(I55,EmployeeTable[Employee ID],EmployeeTable[Employee Name],"Not found"),IFERROR(INDEX(EmployeeTable[Employee Name],MATCH(I55,EmployeeTable[Employee ID],0)),"Not found"))</f>
        <v>Diya Verma</v>
      </c>
      <c r="K55" s="15" t="s">
        <v>17</v>
      </c>
      <c r="L55" s="30" t="n">
        <v>46265</v>
      </c>
      <c r="M55" s="30" t="n">
        <v>46265</v>
      </c>
      <c r="N55" s="33" t="str">
        <f aca="true">IF(AND(OR(K55="Pending",K55="Processing"),L55&lt;TODAY()),"Overdue","On Track")</f>
        <v>On Track</v>
      </c>
    </row>
    <row r="56" customFormat="false" ht="15" hidden="false" customHeight="false" outlineLevel="0" collapsed="false">
      <c r="A56" s="12" t="s">
        <v>190</v>
      </c>
      <c r="B56" s="26" t="n">
        <v>46311</v>
      </c>
      <c r="C56" s="14" t="s">
        <v>114</v>
      </c>
      <c r="D56" s="12" t="s">
        <v>105</v>
      </c>
      <c r="E56" s="14" t="s">
        <v>106</v>
      </c>
      <c r="F56" s="13" t="n">
        <v>2</v>
      </c>
      <c r="G56" s="41" t="n">
        <v>1499</v>
      </c>
      <c r="H56" s="41" t="n">
        <f aca="false">F56*G56</f>
        <v>2998</v>
      </c>
      <c r="I56" s="12" t="s">
        <v>107</v>
      </c>
      <c r="J56" s="14" t="str">
        <f aca="false">IFERROR(_xlfn.XLOOKUP(I56,EmployeeTable[Employee ID],EmployeeTable[Employee Name],"Not found"),IFERROR(INDEX(EmployeeTable[Employee Name],MATCH(I56,EmployeeTable[Employee ID],0)),"Not found"))</f>
        <v>Kabir Patel</v>
      </c>
      <c r="K56" s="12" t="s">
        <v>25</v>
      </c>
      <c r="L56" s="26" t="n">
        <v>46318</v>
      </c>
      <c r="M56" s="26"/>
      <c r="N56" s="29" t="str">
        <f aca="true">IF(AND(OR(K56="Pending",K56="Processing"),L56&lt;TODAY()),"Overdue","On Track")</f>
        <v>On Track</v>
      </c>
    </row>
    <row r="57" customFormat="false" ht="15" hidden="false" customHeight="false" outlineLevel="0" collapsed="false">
      <c r="A57" s="15" t="s">
        <v>191</v>
      </c>
      <c r="B57" s="30" t="n">
        <v>46244</v>
      </c>
      <c r="C57" s="17" t="s">
        <v>120</v>
      </c>
      <c r="D57" s="15" t="s">
        <v>110</v>
      </c>
      <c r="E57" s="17" t="s">
        <v>111</v>
      </c>
      <c r="F57" s="16" t="n">
        <v>2</v>
      </c>
      <c r="G57" s="44" t="n">
        <v>1199</v>
      </c>
      <c r="H57" s="44" t="n">
        <f aca="false">F57*G57</f>
        <v>2398</v>
      </c>
      <c r="I57" s="15" t="s">
        <v>112</v>
      </c>
      <c r="J57" s="17" t="str">
        <f aca="false">IFERROR(_xlfn.XLOOKUP(I57,EmployeeTable[Employee ID],EmployeeTable[Employee Name],"Not found"),IFERROR(INDEX(EmployeeTable[Employee Name],MATCH(I57,EmployeeTable[Employee ID],0)),"Not found"))</f>
        <v>Meera Singh</v>
      </c>
      <c r="K57" s="15" t="s">
        <v>21</v>
      </c>
      <c r="L57" s="30" t="n">
        <v>46246</v>
      </c>
      <c r="M57" s="30"/>
      <c r="N57" s="33" t="str">
        <f aca="true">IF(AND(OR(K57="Pending",K57="Processing"),L57&lt;TODAY()),"Overdue","On Track")</f>
        <v>Overdue</v>
      </c>
    </row>
    <row r="58" customFormat="false" ht="15" hidden="false" customHeight="false" outlineLevel="0" collapsed="false">
      <c r="A58" s="12" t="s">
        <v>192</v>
      </c>
      <c r="B58" s="26" t="n">
        <v>46245</v>
      </c>
      <c r="C58" s="14" t="s">
        <v>126</v>
      </c>
      <c r="D58" s="12" t="s">
        <v>115</v>
      </c>
      <c r="E58" s="14" t="s">
        <v>116</v>
      </c>
      <c r="F58" s="13" t="n">
        <v>1</v>
      </c>
      <c r="G58" s="41" t="n">
        <v>2499</v>
      </c>
      <c r="H58" s="41" t="n">
        <f aca="false">F58*G58</f>
        <v>2499</v>
      </c>
      <c r="I58" s="12" t="s">
        <v>117</v>
      </c>
      <c r="J58" s="14" t="str">
        <f aca="false">IFERROR(_xlfn.XLOOKUP(I58,EmployeeTable[Employee ID],EmployeeTable[Employee Name],"Not found"),IFERROR(INDEX(EmployeeTable[Employee Name],MATCH(I58,EmployeeTable[Employee ID],0)),"Not found"))</f>
        <v>Ishaan Gupta</v>
      </c>
      <c r="K58" s="12" t="s">
        <v>31</v>
      </c>
      <c r="L58" s="26" t="n">
        <v>46248</v>
      </c>
      <c r="M58" s="26" t="n">
        <v>46248</v>
      </c>
      <c r="N58" s="29" t="str">
        <f aca="true">IF(AND(OR(K58="Pending",K58="Processing"),L58&lt;TODAY()),"Overdue","On Track")</f>
        <v>On Track</v>
      </c>
    </row>
    <row r="59" customFormat="false" ht="15" hidden="false" customHeight="false" outlineLevel="0" collapsed="false">
      <c r="A59" s="15" t="s">
        <v>193</v>
      </c>
      <c r="B59" s="30" t="n">
        <v>46293</v>
      </c>
      <c r="C59" s="17" t="s">
        <v>132</v>
      </c>
      <c r="D59" s="15" t="s">
        <v>121</v>
      </c>
      <c r="E59" s="17" t="s">
        <v>122</v>
      </c>
      <c r="F59" s="16" t="n">
        <v>7</v>
      </c>
      <c r="G59" s="44" t="n">
        <v>1799</v>
      </c>
      <c r="H59" s="44" t="n">
        <f aca="false">F59*G59</f>
        <v>12593</v>
      </c>
      <c r="I59" s="15" t="s">
        <v>123</v>
      </c>
      <c r="J59" s="17" t="str">
        <f aca="false">IFERROR(_xlfn.XLOOKUP(I59,EmployeeTable[Employee ID],EmployeeTable[Employee Name],"Not found"),IFERROR(INDEX(EmployeeTable[Employee Name],MATCH(I59,EmployeeTable[Employee ID],0)),"Not found"))</f>
        <v>Ananya Rao</v>
      </c>
      <c r="K59" s="15" t="s">
        <v>21</v>
      </c>
      <c r="L59" s="30" t="n">
        <v>46302</v>
      </c>
      <c r="M59" s="30"/>
      <c r="N59" s="33" t="str">
        <f aca="true">IF(AND(OR(K59="Pending",K59="Processing"),L59&lt;TODAY()),"Overdue","On Track")</f>
        <v>Overdue</v>
      </c>
    </row>
    <row r="60" customFormat="false" ht="15" hidden="false" customHeight="false" outlineLevel="0" collapsed="false">
      <c r="A60" s="12" t="s">
        <v>194</v>
      </c>
      <c r="B60" s="26" t="n">
        <v>46263</v>
      </c>
      <c r="C60" s="14" t="s">
        <v>137</v>
      </c>
      <c r="D60" s="12" t="s">
        <v>127</v>
      </c>
      <c r="E60" s="14" t="s">
        <v>128</v>
      </c>
      <c r="F60" s="13" t="n">
        <v>1</v>
      </c>
      <c r="G60" s="41" t="n">
        <v>999</v>
      </c>
      <c r="H60" s="41" t="n">
        <f aca="false">F60*G60</f>
        <v>999</v>
      </c>
      <c r="I60" s="12" t="s">
        <v>129</v>
      </c>
      <c r="J60" s="14" t="str">
        <f aca="false">IFERROR(_xlfn.XLOOKUP(I60,EmployeeTable[Employee ID],EmployeeTable[Employee Name],"Not found"),IFERROR(INDEX(EmployeeTable[Employee Name],MATCH(I60,EmployeeTable[Employee ID],0)),"Not found"))</f>
        <v>Rohan Das</v>
      </c>
      <c r="K60" s="12" t="s">
        <v>17</v>
      </c>
      <c r="L60" s="26" t="n">
        <v>46267</v>
      </c>
      <c r="M60" s="26" t="n">
        <v>46267</v>
      </c>
      <c r="N60" s="29" t="str">
        <f aca="true">IF(AND(OR(K60="Pending",K60="Processing"),L60&lt;TODAY()),"Overdue","On Track")</f>
        <v>On Track</v>
      </c>
    </row>
    <row r="61" customFormat="false" ht="15" hidden="false" customHeight="false" outlineLevel="0" collapsed="false">
      <c r="A61" s="15" t="s">
        <v>195</v>
      </c>
      <c r="B61" s="30" t="n">
        <v>46281</v>
      </c>
      <c r="C61" s="17" t="s">
        <v>142</v>
      </c>
      <c r="D61" s="15" t="s">
        <v>133</v>
      </c>
      <c r="E61" s="17" t="s">
        <v>134</v>
      </c>
      <c r="F61" s="16" t="n">
        <v>8</v>
      </c>
      <c r="G61" s="44" t="n">
        <v>249</v>
      </c>
      <c r="H61" s="44" t="n">
        <f aca="false">F61*G61</f>
        <v>1992</v>
      </c>
      <c r="I61" s="15" t="s">
        <v>135</v>
      </c>
      <c r="J61" s="17" t="str">
        <f aca="false">IFERROR(_xlfn.XLOOKUP(I61,EmployeeTable[Employee ID],EmployeeTable[Employee Name],"Not found"),IFERROR(INDEX(EmployeeTable[Employee Name],MATCH(I61,EmployeeTable[Employee ID],0)),"Not found"))</f>
        <v>Sana Khan</v>
      </c>
      <c r="K61" s="15" t="s">
        <v>17</v>
      </c>
      <c r="L61" s="30" t="n">
        <v>46287</v>
      </c>
      <c r="M61" s="30" t="n">
        <v>46289</v>
      </c>
      <c r="N61" s="33" t="str">
        <f aca="true">IF(AND(OR(K61="Pending",K61="Processing"),L61&lt;TODAY()),"Overdue","On Track")</f>
        <v>On Track</v>
      </c>
    </row>
    <row r="62" customFormat="false" ht="15" hidden="false" customHeight="false" outlineLevel="0" collapsed="false">
      <c r="A62" s="12" t="s">
        <v>196</v>
      </c>
      <c r="B62" s="26" t="n">
        <v>46243</v>
      </c>
      <c r="C62" s="14" t="s">
        <v>147</v>
      </c>
      <c r="D62" s="12" t="s">
        <v>138</v>
      </c>
      <c r="E62" s="14" t="s">
        <v>139</v>
      </c>
      <c r="F62" s="13" t="n">
        <v>11</v>
      </c>
      <c r="G62" s="41" t="n">
        <v>199</v>
      </c>
      <c r="H62" s="41" t="n">
        <f aca="false">F62*G62</f>
        <v>2189</v>
      </c>
      <c r="I62" s="12" t="s">
        <v>140</v>
      </c>
      <c r="J62" s="14" t="str">
        <f aca="false">IFERROR(_xlfn.XLOOKUP(I62,EmployeeTable[Employee ID],EmployeeTable[Employee Name],"Not found"),IFERROR(INDEX(EmployeeTable[Employee Name],MATCH(I62,EmployeeTable[Employee ID],0)),"Not found"))</f>
        <v>Vivaan Joshi</v>
      </c>
      <c r="K62" s="12" t="s">
        <v>17</v>
      </c>
      <c r="L62" s="26" t="n">
        <v>46252</v>
      </c>
      <c r="M62" s="26" t="n">
        <v>46252</v>
      </c>
      <c r="N62" s="29" t="str">
        <f aca="true">IF(AND(OR(K62="Pending",K62="Processing"),L62&lt;TODAY()),"Overdue","On Track")</f>
        <v>On Track</v>
      </c>
    </row>
    <row r="63" customFormat="false" ht="15" hidden="false" customHeight="false" outlineLevel="0" collapsed="false">
      <c r="A63" s="15" t="s">
        <v>197</v>
      </c>
      <c r="B63" s="30" t="n">
        <v>46287</v>
      </c>
      <c r="C63" s="17" t="s">
        <v>149</v>
      </c>
      <c r="D63" s="15" t="s">
        <v>143</v>
      </c>
      <c r="E63" s="17" t="s">
        <v>144</v>
      </c>
      <c r="F63" s="16" t="n">
        <v>1</v>
      </c>
      <c r="G63" s="44" t="n">
        <v>4999</v>
      </c>
      <c r="H63" s="44" t="n">
        <f aca="false">F63*G63</f>
        <v>4999</v>
      </c>
      <c r="I63" s="15" t="s">
        <v>145</v>
      </c>
      <c r="J63" s="17" t="str">
        <f aca="false">IFERROR(_xlfn.XLOOKUP(I63,EmployeeTable[Employee ID],EmployeeTable[Employee Name],"Not found"),IFERROR(INDEX(EmployeeTable[Employee Name],MATCH(I63,EmployeeTable[Employee ID],0)),"Not found"))</f>
        <v>Ira Nair</v>
      </c>
      <c r="K63" s="15" t="s">
        <v>17</v>
      </c>
      <c r="L63" s="30" t="n">
        <v>46297</v>
      </c>
      <c r="M63" s="30" t="n">
        <v>46297</v>
      </c>
      <c r="N63" s="33" t="str">
        <f aca="true">IF(AND(OR(K63="Pending",K63="Processing"),L63&lt;TODAY()),"Overdue","On Track")</f>
        <v>On Track</v>
      </c>
    </row>
  </sheetData>
  <mergeCells count="2">
    <mergeCell ref="A1:Q1"/>
    <mergeCell ref="A2:Q2"/>
  </mergeCells>
  <conditionalFormatting sqref="N4:N500">
    <cfRule type="expression" priority="2" aboveAverage="0" equalAverage="0" bottom="0" percent="0" rank="0" text="" dxfId="9">
      <formula>$N4="Overdue"</formula>
    </cfRule>
    <cfRule type="expression" priority="3" aboveAverage="0" equalAverage="0" bottom="0" percent="0" rank="0" text="" dxfId="1">
      <formula>$N4="On Track"</formula>
    </cfRule>
  </conditionalFormatting>
  <conditionalFormatting sqref="A4:A500">
    <cfRule type="expression" priority="4" aboveAverage="0" equalAverage="0" bottom="0" percent="0" rank="0" text="" dxfId="0">
      <formula>AND(A4&lt;&gt;"",COUNTIF($A$4:$A$500,A4)&gt;1)</formula>
    </cfRule>
  </conditionalFormatting>
  <dataValidations count="4">
    <dataValidation allowBlank="false" errorStyle="stop" operator="between" showDropDown="false" showErrorMessage="false" showInputMessage="false" sqref="K4:K500" type="list">
      <formula1>'Lists &amp; Settings'!$A$5:$A$9</formula1>
      <formula2>0</formula2>
    </dataValidation>
    <dataValidation allowBlank="false" errorStyle="stop" operator="greaterThan" showDropDown="false" showErrorMessage="false" showInputMessage="false" sqref="F4:F500" type="whole">
      <formula1>0</formula1>
      <formula2>0</formula2>
    </dataValidation>
    <dataValidation allowBlank="false" errorStyle="stop" operator="between" showDropDown="false" showErrorMessage="false" showInputMessage="false" sqref="D4:D500" type="list">
      <formula1>'Inventory Management'!$A$4:$A$13</formula1>
      <formula2>0</formula2>
    </dataValidation>
    <dataValidation allowBlank="false" errorStyle="stop" operator="between" showDropDown="false" showErrorMessage="false" showInputMessage="false" sqref="I4:I500" type="list">
      <formula1>'Employee Master'!$A$4:$A$13</formula1>
      <formula2>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9" min="7" style="0" width="17"/>
    <col collapsed="false" customWidth="true" hidden="false" outlineLevel="0" max="10" min="10" style="0" width="23"/>
    <col collapsed="false" customWidth="true" hidden="false" outlineLevel="0" max="11" min="11" style="0" width="17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10" t="s">
        <v>80</v>
      </c>
      <c r="B3" s="11" t="s">
        <v>200</v>
      </c>
      <c r="C3" s="11" t="s">
        <v>201</v>
      </c>
      <c r="D3" s="10" t="s">
        <v>202</v>
      </c>
      <c r="E3" s="10" t="s">
        <v>203</v>
      </c>
      <c r="F3" s="10" t="s">
        <v>204</v>
      </c>
      <c r="G3" s="10" t="s">
        <v>205</v>
      </c>
      <c r="H3" s="10" t="s">
        <v>206</v>
      </c>
      <c r="I3" s="10" t="s">
        <v>207</v>
      </c>
      <c r="J3" s="10" t="s">
        <v>208</v>
      </c>
      <c r="K3" s="10" t="s">
        <v>209</v>
      </c>
      <c r="M3" s="10" t="s">
        <v>210</v>
      </c>
      <c r="N3" s="10" t="s">
        <v>211</v>
      </c>
    </row>
    <row r="4" customFormat="false" ht="15" hidden="false" customHeight="false" outlineLevel="0" collapsed="false">
      <c r="A4" s="12" t="s">
        <v>93</v>
      </c>
      <c r="B4" s="14" t="s">
        <v>94</v>
      </c>
      <c r="C4" s="14" t="s">
        <v>212</v>
      </c>
      <c r="D4" s="13" t="n">
        <v>120</v>
      </c>
      <c r="E4" s="13" t="n">
        <v>24</v>
      </c>
      <c r="F4" s="13" t="n">
        <v>25</v>
      </c>
      <c r="G4" s="13" t="n">
        <f aca="false">D4 + E4 - F4</f>
        <v>119</v>
      </c>
      <c r="H4" s="13" t="n">
        <v>35</v>
      </c>
      <c r="I4" s="41" t="n">
        <v>499</v>
      </c>
      <c r="J4" s="41" t="n">
        <f aca="false">MAX(G4,0)*I4</f>
        <v>59381</v>
      </c>
      <c r="K4" s="29" t="str">
        <f aca="false">IF(G4&lt;H4,"REORDER","OK")</f>
        <v>OK</v>
      </c>
      <c r="M4" s="42" t="s">
        <v>213</v>
      </c>
      <c r="N4" s="43" t="str">
        <f aca="false">IF(SUMPRODUCT(--(COUNTIF(InventoryTable[Product ID],InventoryTable[Product ID])&gt;1))&gt;0,"DUPLICATES FOUND","IDs unique")</f>
        <v>IDs unique</v>
      </c>
    </row>
    <row r="5" customFormat="false" ht="15" hidden="false" customHeight="false" outlineLevel="0" collapsed="false">
      <c r="A5" s="15" t="s">
        <v>99</v>
      </c>
      <c r="B5" s="17" t="s">
        <v>100</v>
      </c>
      <c r="C5" s="17" t="s">
        <v>212</v>
      </c>
      <c r="D5" s="16" t="n">
        <v>80</v>
      </c>
      <c r="E5" s="16" t="n">
        <v>30</v>
      </c>
      <c r="F5" s="16" t="n">
        <v>107</v>
      </c>
      <c r="G5" s="16" t="n">
        <f aca="false">D5 + E5 - F5</f>
        <v>3</v>
      </c>
      <c r="H5" s="16" t="n">
        <v>25</v>
      </c>
      <c r="I5" s="44" t="n">
        <v>899</v>
      </c>
      <c r="J5" s="44" t="n">
        <f aca="false">MAX(G5,0)*I5</f>
        <v>2697</v>
      </c>
      <c r="K5" s="33" t="str">
        <f aca="false">IF(G5&lt;H5,"REORDER","OK")</f>
        <v>REORDER</v>
      </c>
      <c r="M5" s="42" t="s">
        <v>214</v>
      </c>
      <c r="N5" s="43" t="str">
        <f aca="false">IF(COUNTBLANK(InventoryTable[Product Name])&gt;0,"MISSING VALUES","Complete")</f>
        <v>Complete</v>
      </c>
    </row>
    <row r="6" customFormat="false" ht="15" hidden="false" customHeight="false" outlineLevel="0" collapsed="false">
      <c r="A6" s="12" t="s">
        <v>105</v>
      </c>
      <c r="B6" s="14" t="s">
        <v>106</v>
      </c>
      <c r="C6" s="14" t="s">
        <v>212</v>
      </c>
      <c r="D6" s="13" t="n">
        <v>55</v>
      </c>
      <c r="E6" s="13" t="n">
        <v>52</v>
      </c>
      <c r="F6" s="13" t="n">
        <v>77</v>
      </c>
      <c r="G6" s="13" t="n">
        <f aca="false">D6 + E6 - F6</f>
        <v>30</v>
      </c>
      <c r="H6" s="13" t="n">
        <v>18</v>
      </c>
      <c r="I6" s="41" t="n">
        <v>1499</v>
      </c>
      <c r="J6" s="41" t="n">
        <f aca="false">MAX(G6,0)*I6</f>
        <v>44970</v>
      </c>
      <c r="K6" s="29" t="str">
        <f aca="false">IF(G6&lt;H6,"REORDER","OK")</f>
        <v>OK</v>
      </c>
      <c r="M6" s="42" t="s">
        <v>215</v>
      </c>
      <c r="N6" s="43" t="str">
        <f aca="false">IF(COUNTIF(InventoryTable[Current Stock],"&lt;0")&gt;0,"NEGATIVE STOCK","All Non-Negative")</f>
        <v>All Non-Negative</v>
      </c>
    </row>
    <row r="7" customFormat="false" ht="15" hidden="false" customHeight="false" outlineLevel="0" collapsed="false">
      <c r="A7" s="15" t="s">
        <v>110</v>
      </c>
      <c r="B7" s="17" t="s">
        <v>111</v>
      </c>
      <c r="C7" s="17" t="s">
        <v>216</v>
      </c>
      <c r="D7" s="16" t="n">
        <v>70</v>
      </c>
      <c r="E7" s="16" t="n">
        <v>30</v>
      </c>
      <c r="F7" s="16" t="n">
        <v>88</v>
      </c>
      <c r="G7" s="16" t="n">
        <f aca="false">D7 + E7 - F7</f>
        <v>12</v>
      </c>
      <c r="H7" s="16" t="n">
        <v>20</v>
      </c>
      <c r="I7" s="44" t="n">
        <v>1199</v>
      </c>
      <c r="J7" s="44" t="n">
        <f aca="false">MAX(G7,0)*I7</f>
        <v>14388</v>
      </c>
      <c r="K7" s="33" t="str">
        <f aca="false">IF(G7&lt;H7,"REORDER","OK")</f>
        <v>REORDER</v>
      </c>
      <c r="M7" s="42" t="s">
        <v>217</v>
      </c>
      <c r="N7" s="45" t="n">
        <f aca="false">COUNTA(InventoryTable[Product ID])</f>
        <v>10</v>
      </c>
    </row>
    <row r="8" customFormat="false" ht="15" hidden="false" customHeight="false" outlineLevel="0" collapsed="false">
      <c r="A8" s="12" t="s">
        <v>115</v>
      </c>
      <c r="B8" s="14" t="s">
        <v>116</v>
      </c>
      <c r="C8" s="14" t="s">
        <v>218</v>
      </c>
      <c r="D8" s="13" t="n">
        <v>40</v>
      </c>
      <c r="E8" s="13" t="n">
        <v>60</v>
      </c>
      <c r="F8" s="13" t="n">
        <v>97</v>
      </c>
      <c r="G8" s="13" t="n">
        <f aca="false">D8 + E8 - F8</f>
        <v>3</v>
      </c>
      <c r="H8" s="13" t="n">
        <v>15</v>
      </c>
      <c r="I8" s="41" t="n">
        <v>2499</v>
      </c>
      <c r="J8" s="41" t="n">
        <f aca="false">MAX(G8,0)*I8</f>
        <v>7497</v>
      </c>
      <c r="K8" s="29" t="str">
        <f aca="false">IF(G8&lt;H8,"REORDER","OK")</f>
        <v>REORDER</v>
      </c>
      <c r="M8" s="42" t="s">
        <v>219</v>
      </c>
      <c r="N8" s="45" t="n">
        <f aca="false">SUM(InventoryTable[Current Stock])</f>
        <v>585</v>
      </c>
    </row>
    <row r="9" customFormat="false" ht="15" hidden="false" customHeight="false" outlineLevel="0" collapsed="false">
      <c r="A9" s="15" t="s">
        <v>121</v>
      </c>
      <c r="B9" s="17" t="s">
        <v>122</v>
      </c>
      <c r="C9" s="17" t="s">
        <v>218</v>
      </c>
      <c r="D9" s="16" t="n">
        <v>65</v>
      </c>
      <c r="E9" s="16" t="n">
        <v>62</v>
      </c>
      <c r="F9" s="16" t="n">
        <v>72</v>
      </c>
      <c r="G9" s="16" t="n">
        <f aca="false">D9 + E9 - F9</f>
        <v>55</v>
      </c>
      <c r="H9" s="16" t="n">
        <v>20</v>
      </c>
      <c r="I9" s="44" t="n">
        <v>1799</v>
      </c>
      <c r="J9" s="44" t="n">
        <f aca="false">MAX(G9,0)*I9</f>
        <v>98945</v>
      </c>
      <c r="K9" s="33" t="str">
        <f aca="false">IF(G9&lt;H9,"REORDER","OK")</f>
        <v>OK</v>
      </c>
      <c r="M9" s="42" t="s">
        <v>220</v>
      </c>
      <c r="N9" s="48" t="n">
        <f aca="false">COUNTIF(InventoryTable[Reorder Alert],"REORDER")</f>
        <v>4</v>
      </c>
    </row>
    <row r="10" customFormat="false" ht="15" hidden="false" customHeight="false" outlineLevel="0" collapsed="false">
      <c r="A10" s="12" t="s">
        <v>127</v>
      </c>
      <c r="B10" s="14" t="s">
        <v>128</v>
      </c>
      <c r="C10" s="14" t="s">
        <v>218</v>
      </c>
      <c r="D10" s="13" t="n">
        <v>90</v>
      </c>
      <c r="E10" s="13" t="n">
        <v>2</v>
      </c>
      <c r="F10" s="13" t="n">
        <v>26</v>
      </c>
      <c r="G10" s="13" t="n">
        <f aca="false">D10 + E10 - F10</f>
        <v>66</v>
      </c>
      <c r="H10" s="13" t="n">
        <v>30</v>
      </c>
      <c r="I10" s="41" t="n">
        <v>999</v>
      </c>
      <c r="J10" s="41" t="n">
        <f aca="false">MAX(G10,0)*I10</f>
        <v>65934</v>
      </c>
      <c r="K10" s="29" t="str">
        <f aca="false">IF(G10&lt;H10,"REORDER","OK")</f>
        <v>OK</v>
      </c>
      <c r="M10" s="42" t="s">
        <v>221</v>
      </c>
      <c r="N10" s="49" t="n">
        <f aca="false">SUM(InventoryTable[Inventory Value (₹)])</f>
        <v>384115</v>
      </c>
    </row>
    <row r="11" customFormat="false" ht="15" hidden="false" customHeight="false" outlineLevel="0" collapsed="false">
      <c r="A11" s="15" t="s">
        <v>133</v>
      </c>
      <c r="B11" s="17" t="s">
        <v>134</v>
      </c>
      <c r="C11" s="17" t="s">
        <v>216</v>
      </c>
      <c r="D11" s="16" t="n">
        <v>150</v>
      </c>
      <c r="E11" s="16" t="n">
        <v>37</v>
      </c>
      <c r="F11" s="16" t="n">
        <v>43</v>
      </c>
      <c r="G11" s="16" t="n">
        <f aca="false">D11 + E11 - F11</f>
        <v>144</v>
      </c>
      <c r="H11" s="16" t="n">
        <v>40</v>
      </c>
      <c r="I11" s="44" t="n">
        <v>249</v>
      </c>
      <c r="J11" s="44" t="n">
        <f aca="false">MAX(G11,0)*I11</f>
        <v>35856</v>
      </c>
      <c r="K11" s="33" t="str">
        <f aca="false">IF(G11&lt;H11,"REORDER","OK")</f>
        <v>OK</v>
      </c>
    </row>
    <row r="12" customFormat="false" ht="15" hidden="false" customHeight="false" outlineLevel="0" collapsed="false">
      <c r="A12" s="12" t="s">
        <v>138</v>
      </c>
      <c r="B12" s="14" t="s">
        <v>139</v>
      </c>
      <c r="C12" s="14" t="s">
        <v>222</v>
      </c>
      <c r="D12" s="13" t="n">
        <v>200</v>
      </c>
      <c r="E12" s="13" t="n">
        <v>51</v>
      </c>
      <c r="F12" s="13" t="n">
        <v>103</v>
      </c>
      <c r="G12" s="13" t="n">
        <f aca="false">D12 + E12 - F12</f>
        <v>148</v>
      </c>
      <c r="H12" s="13" t="n">
        <v>60</v>
      </c>
      <c r="I12" s="41" t="n">
        <v>199</v>
      </c>
      <c r="J12" s="41" t="n">
        <f aca="false">MAX(G12,0)*I12</f>
        <v>29452</v>
      </c>
      <c r="K12" s="29" t="str">
        <f aca="false">IF(G12&lt;H12,"REORDER","OK")</f>
        <v>OK</v>
      </c>
    </row>
    <row r="13" customFormat="false" ht="15" hidden="false" customHeight="false" outlineLevel="0" collapsed="false">
      <c r="A13" s="15" t="s">
        <v>143</v>
      </c>
      <c r="B13" s="17" t="s">
        <v>144</v>
      </c>
      <c r="C13" s="17" t="s">
        <v>223</v>
      </c>
      <c r="D13" s="16" t="n">
        <v>28</v>
      </c>
      <c r="E13" s="16" t="n">
        <v>31</v>
      </c>
      <c r="F13" s="16" t="n">
        <v>54</v>
      </c>
      <c r="G13" s="16" t="n">
        <f aca="false">D13 + E13 - F13</f>
        <v>5</v>
      </c>
      <c r="H13" s="16" t="n">
        <v>12</v>
      </c>
      <c r="I13" s="44" t="n">
        <v>4999</v>
      </c>
      <c r="J13" s="44" t="n">
        <f aca="false">MAX(G13,0)*I13</f>
        <v>24995</v>
      </c>
      <c r="K13" s="33" t="str">
        <f aca="false">IF(G13&lt;H13,"REORDER","OK")</f>
        <v>REORDER</v>
      </c>
    </row>
  </sheetData>
  <mergeCells count="2">
    <mergeCell ref="A1:N1"/>
    <mergeCell ref="A2:N2"/>
  </mergeCells>
  <conditionalFormatting sqref="K4:K500">
    <cfRule type="expression" priority="2" aboveAverage="0" equalAverage="0" bottom="0" percent="0" rank="0" text="" dxfId="9">
      <formula>$K4="REORDER"</formula>
    </cfRule>
    <cfRule type="expression" priority="3" aboveAverage="0" equalAverage="0" bottom="0" percent="0" rank="0" text="" dxfId="1">
      <formula>$K4="OK"</formula>
    </cfRule>
  </conditionalFormatting>
  <conditionalFormatting sqref="A4:A500">
    <cfRule type="expression" priority="4" aboveAverage="0" equalAverage="0" bottom="0" percent="0" rank="0" text="" dxfId="0">
      <formula>AND(A4&lt;&gt;"",COUNTIF($A$4:$A$500,A4)&gt;1)</formula>
    </cfRule>
  </conditionalFormatting>
  <dataValidations count="1">
    <dataValidation allowBlank="false" errorStyle="stop" operator="greaterThanOrEqual" showDropDown="false" showErrorMessage="false" showInputMessage="false" sqref="D4:F500 H4:H500" type="whole">
      <formula1>0</formula1>
      <formula2>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3"/>
    <col collapsed="false" customWidth="true" hidden="false" outlineLevel="0" max="10" min="9" style="0" width="30"/>
  </cols>
  <sheetData>
    <row r="1" customFormat="false" ht="27.7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10" t="s">
        <v>51</v>
      </c>
      <c r="B3" s="11" t="s">
        <v>52</v>
      </c>
      <c r="C3" s="11" t="s">
        <v>226</v>
      </c>
      <c r="D3" s="11" t="s">
        <v>227</v>
      </c>
      <c r="E3" s="10" t="s">
        <v>228</v>
      </c>
      <c r="F3" s="10" t="s">
        <v>229</v>
      </c>
      <c r="G3" s="10" t="s">
        <v>230</v>
      </c>
      <c r="I3" s="10" t="s">
        <v>231</v>
      </c>
      <c r="J3" s="10"/>
    </row>
    <row r="4" customFormat="false" ht="15" hidden="false" customHeight="false" outlineLevel="0" collapsed="false">
      <c r="A4" s="12" t="s">
        <v>95</v>
      </c>
      <c r="B4" s="14" t="s">
        <v>19</v>
      </c>
      <c r="C4" s="14" t="s">
        <v>232</v>
      </c>
      <c r="D4" s="14" t="s">
        <v>233</v>
      </c>
      <c r="E4" s="26" t="n">
        <v>44970</v>
      </c>
      <c r="F4" s="22" t="n">
        <f aca="true">YEARFRAC(E4,TODAY())</f>
        <v>3.68333333333333</v>
      </c>
      <c r="G4" s="12" t="s">
        <v>234</v>
      </c>
      <c r="I4" s="42" t="s">
        <v>235</v>
      </c>
      <c r="J4" s="50" t="s">
        <v>107</v>
      </c>
    </row>
    <row r="5" customFormat="false" ht="15" hidden="false" customHeight="false" outlineLevel="0" collapsed="false">
      <c r="A5" s="15" t="s">
        <v>101</v>
      </c>
      <c r="B5" s="17" t="s">
        <v>23</v>
      </c>
      <c r="C5" s="17" t="s">
        <v>236</v>
      </c>
      <c r="D5" s="17" t="s">
        <v>237</v>
      </c>
      <c r="E5" s="30" t="n">
        <v>44746</v>
      </c>
      <c r="F5" s="23" t="n">
        <f aca="true">YEARFRAC(E5,TODAY())</f>
        <v>4.29166666666667</v>
      </c>
      <c r="G5" s="15" t="s">
        <v>234</v>
      </c>
      <c r="I5" s="42" t="s">
        <v>238</v>
      </c>
      <c r="J5" s="14" t="str">
        <f aca="false">VLOOKUP(J4,EmployeeTable[[Employee ID]:[Employee Name]],2,FALSE())</f>
        <v>Kabir Patel</v>
      </c>
    </row>
    <row r="6" customFormat="false" ht="15" hidden="false" customHeight="false" outlineLevel="0" collapsed="false">
      <c r="A6" s="12" t="s">
        <v>107</v>
      </c>
      <c r="B6" s="14" t="s">
        <v>27</v>
      </c>
      <c r="C6" s="14" t="s">
        <v>239</v>
      </c>
      <c r="D6" s="14" t="s">
        <v>240</v>
      </c>
      <c r="E6" s="26" t="n">
        <v>45306</v>
      </c>
      <c r="F6" s="22" t="n">
        <f aca="true">YEARFRAC(E6,TODAY())</f>
        <v>2.76111111111111</v>
      </c>
      <c r="G6" s="12" t="s">
        <v>234</v>
      </c>
      <c r="I6" s="42" t="s">
        <v>241</v>
      </c>
      <c r="J6" s="14" t="str">
        <f aca="false">IFERROR(_xlfn.XLOOKUP(J4,EmployeeTable[Employee ID],EmployeeTable[Department],"Not found"),IFERROR(INDEX(EmployeeTable[Department],MATCH(J4,EmployeeTable[Employee ID],0)),"Not found"))</f>
        <v>Warehouse</v>
      </c>
    </row>
    <row r="7" customFormat="false" ht="15" hidden="false" customHeight="false" outlineLevel="0" collapsed="false">
      <c r="A7" s="15" t="s">
        <v>112</v>
      </c>
      <c r="B7" s="17" t="s">
        <v>30</v>
      </c>
      <c r="C7" s="17" t="s">
        <v>242</v>
      </c>
      <c r="D7" s="17" t="s">
        <v>243</v>
      </c>
      <c r="E7" s="30" t="n">
        <v>44508</v>
      </c>
      <c r="F7" s="23" t="n">
        <f aca="true">YEARFRAC(E7,TODAY())</f>
        <v>4.94722222222222</v>
      </c>
      <c r="G7" s="15" t="s">
        <v>234</v>
      </c>
      <c r="I7" s="42" t="s">
        <v>244</v>
      </c>
      <c r="J7" s="14" t="str">
        <f aca="false">IFERROR(_xlfn.XLOOKUP(J4,EmployeeTable[Employee ID],EmployeeTable[Designation],"Not found"),IFERROR(INDEX(EmployeeTable[Designation],MATCH(J4,EmployeeTable[Employee ID],0)),"Not found"))</f>
        <v>Inventory Analyst</v>
      </c>
    </row>
    <row r="8" customFormat="false" ht="15" hidden="false" customHeight="false" outlineLevel="0" collapsed="false">
      <c r="A8" s="12" t="s">
        <v>117</v>
      </c>
      <c r="B8" s="14" t="s">
        <v>32</v>
      </c>
      <c r="C8" s="14" t="s">
        <v>236</v>
      </c>
      <c r="D8" s="14" t="s">
        <v>245</v>
      </c>
      <c r="E8" s="26" t="n">
        <v>45159</v>
      </c>
      <c r="F8" s="22" t="n">
        <f aca="true">YEARFRAC(E8,TODAY())</f>
        <v>3.16111111111111</v>
      </c>
      <c r="G8" s="12" t="s">
        <v>234</v>
      </c>
      <c r="I8" s="34"/>
      <c r="J8" s="34"/>
    </row>
    <row r="9" customFormat="false" ht="15" hidden="false" customHeight="false" outlineLevel="0" collapsed="false">
      <c r="A9" s="15" t="s">
        <v>123</v>
      </c>
      <c r="B9" s="17" t="s">
        <v>33</v>
      </c>
      <c r="C9" s="17" t="s">
        <v>232</v>
      </c>
      <c r="D9" s="17" t="s">
        <v>246</v>
      </c>
      <c r="E9" s="30" t="n">
        <v>44621</v>
      </c>
      <c r="F9" s="23" t="n">
        <f aca="true">YEARFRAC(E9,TODAY())</f>
        <v>4.63333333333333</v>
      </c>
      <c r="G9" s="15" t="s">
        <v>234</v>
      </c>
      <c r="I9" s="51" t="s">
        <v>247</v>
      </c>
      <c r="J9" s="51"/>
    </row>
    <row r="10" customFormat="false" ht="15" hidden="false" customHeight="false" outlineLevel="0" collapsed="false">
      <c r="A10" s="12" t="s">
        <v>129</v>
      </c>
      <c r="B10" s="14" t="s">
        <v>34</v>
      </c>
      <c r="C10" s="14" t="s">
        <v>239</v>
      </c>
      <c r="D10" s="14" t="s">
        <v>248</v>
      </c>
      <c r="E10" s="26" t="n">
        <v>45418</v>
      </c>
      <c r="F10" s="22" t="n">
        <f aca="true">YEARFRAC(E10,TODAY())</f>
        <v>2.45277777777778</v>
      </c>
      <c r="G10" s="12" t="s">
        <v>234</v>
      </c>
      <c r="I10" s="42" t="s">
        <v>249</v>
      </c>
      <c r="J10" s="43" t="str">
        <f aca="false">IF(SUMPRODUCT(--(COUNTIF(EmployeeTable[Employee ID],EmployeeTable[Employee ID])&gt;1))&gt;0,"DUPLICATE FOUND","IDs unique")</f>
        <v>IDs unique</v>
      </c>
    </row>
    <row r="11" customFormat="false" ht="15" hidden="false" customHeight="false" outlineLevel="0" collapsed="false">
      <c r="A11" s="15" t="s">
        <v>135</v>
      </c>
      <c r="B11" s="17" t="s">
        <v>35</v>
      </c>
      <c r="C11" s="17" t="s">
        <v>242</v>
      </c>
      <c r="D11" s="17" t="s">
        <v>250</v>
      </c>
      <c r="E11" s="30" t="n">
        <v>45201</v>
      </c>
      <c r="F11" s="23" t="n">
        <f aca="true">YEARFRAC(E11,TODAY())</f>
        <v>3.04722222222222</v>
      </c>
      <c r="G11" s="15" t="s">
        <v>234</v>
      </c>
      <c r="I11" s="42" t="s">
        <v>251</v>
      </c>
      <c r="J11" s="43" t="str">
        <f aca="false">IF(COUNTBLANK(EmployeeTable[Employee Name])&gt;0,"MISSING VALUES","Complete")</f>
        <v>Complete</v>
      </c>
    </row>
    <row r="12" customFormat="false" ht="15" hidden="false" customHeight="false" outlineLevel="0" collapsed="false">
      <c r="A12" s="12" t="s">
        <v>140</v>
      </c>
      <c r="B12" s="14" t="s">
        <v>36</v>
      </c>
      <c r="C12" s="14" t="s">
        <v>236</v>
      </c>
      <c r="D12" s="14" t="s">
        <v>245</v>
      </c>
      <c r="E12" s="26" t="n">
        <v>43999</v>
      </c>
      <c r="F12" s="22" t="n">
        <f aca="true">YEARFRAC(E12,TODAY())</f>
        <v>6.33888888888889</v>
      </c>
      <c r="G12" s="12" t="s">
        <v>234</v>
      </c>
    </row>
    <row r="13" customFormat="false" ht="15" hidden="false" customHeight="false" outlineLevel="0" collapsed="false">
      <c r="A13" s="15" t="s">
        <v>145</v>
      </c>
      <c r="B13" s="17" t="s">
        <v>37</v>
      </c>
      <c r="C13" s="17" t="s">
        <v>232</v>
      </c>
      <c r="D13" s="17" t="s">
        <v>252</v>
      </c>
      <c r="E13" s="30" t="n">
        <v>43731</v>
      </c>
      <c r="F13" s="23" t="n">
        <f aca="true">YEARFRAC(E13,TODAY())</f>
        <v>7.07222222222222</v>
      </c>
      <c r="G13" s="15" t="s">
        <v>234</v>
      </c>
    </row>
  </sheetData>
  <mergeCells count="4">
    <mergeCell ref="A1:J1"/>
    <mergeCell ref="A2:J2"/>
    <mergeCell ref="I3:J3"/>
    <mergeCell ref="I9:J9"/>
  </mergeCells>
  <dataValidations count="3">
    <dataValidation allowBlank="false" errorStyle="stop" operator="between" showDropDown="false" showErrorMessage="false" showInputMessage="false" sqref="C4:C500" type="list">
      <formula1>'Lists &amp; Settings'!$I$5:$I$8</formula1>
      <formula2>0</formula2>
    </dataValidation>
    <dataValidation allowBlank="false" errorStyle="stop" operator="between" showDropDown="false" showErrorMessage="false" showInputMessage="false" sqref="G4:G500" type="list">
      <formula1>'Lists &amp; Settings'!$M$5:$M$7</formula1>
      <formula2>0</formula2>
    </dataValidation>
    <dataValidation allowBlank="false" errorStyle="stop" operator="between" showDropDown="false" showErrorMessage="false" showInputMessage="false" sqref="J4" type="list">
      <formula1>'Employee Master'!$A$4:$A$13</formula1>
      <formula2>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8" min="5" style="0" width="18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254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4"/>
    </row>
    <row r="4" customFormat="false" ht="15" hidden="false" customHeight="false" outlineLevel="0" collapsed="false">
      <c r="A4" s="52" t="s">
        <v>255</v>
      </c>
      <c r="B4" s="53" t="n">
        <f aca="true">TODAY()</f>
        <v>46314</v>
      </c>
      <c r="C4" s="34"/>
      <c r="D4" s="54" t="s">
        <v>256</v>
      </c>
      <c r="E4" s="54"/>
      <c r="F4" s="54"/>
      <c r="G4" s="54"/>
      <c r="H4" s="54"/>
      <c r="I4" s="54"/>
      <c r="J4" s="34"/>
    </row>
    <row r="5" customFormat="false" ht="15" hidden="false" customHeight="false" outlineLevel="0" collapsed="false">
      <c r="A5" s="52" t="s">
        <v>257</v>
      </c>
      <c r="B5" s="53" t="n">
        <f aca="true">TODAY()</f>
        <v>46314</v>
      </c>
      <c r="C5" s="34"/>
      <c r="D5" s="54"/>
      <c r="E5" s="54"/>
      <c r="F5" s="54"/>
      <c r="G5" s="54"/>
      <c r="H5" s="54"/>
      <c r="I5" s="54"/>
      <c r="J5" s="34"/>
    </row>
    <row r="6" customFormat="false" ht="15" hidden="false" customHeight="false" outlineLevel="0" collapsed="false">
      <c r="A6" s="34"/>
      <c r="B6" s="34"/>
      <c r="C6" s="34"/>
      <c r="D6" s="34"/>
      <c r="E6" s="25" t="s">
        <v>258</v>
      </c>
      <c r="F6" s="25"/>
      <c r="G6" s="25"/>
      <c r="H6" s="25"/>
      <c r="I6" s="25"/>
      <c r="J6" s="34"/>
    </row>
    <row r="7" customFormat="false" ht="31.5" hidden="false" customHeight="true" outlineLevel="0" collapsed="false">
      <c r="A7" s="11" t="s">
        <v>259</v>
      </c>
      <c r="B7" s="10" t="s">
        <v>260</v>
      </c>
      <c r="C7" s="10" t="s">
        <v>261</v>
      </c>
      <c r="D7" s="34"/>
      <c r="E7" s="10" t="s">
        <v>80</v>
      </c>
      <c r="F7" s="11" t="s">
        <v>200</v>
      </c>
      <c r="G7" s="10" t="s">
        <v>205</v>
      </c>
      <c r="H7" s="10" t="s">
        <v>206</v>
      </c>
      <c r="I7" s="10" t="s">
        <v>262</v>
      </c>
      <c r="J7" s="34"/>
    </row>
    <row r="8" customFormat="false" ht="15" hidden="false" customHeight="false" outlineLevel="0" collapsed="false">
      <c r="A8" s="14" t="s">
        <v>263</v>
      </c>
      <c r="B8" s="13" t="n">
        <f aca="false">COUNTIFS(OrdersTable[Order Date],"&gt;="&amp;$B$4,OrdersTable[Order Date],"&lt;"&amp;$B$5+1)</f>
        <v>1</v>
      </c>
      <c r="C8" s="12" t="s">
        <v>264</v>
      </c>
      <c r="D8" s="34"/>
      <c r="E8" s="12" t="str">
        <f aca="false">'Inventory Management'!A5</f>
        <v>P002</v>
      </c>
      <c r="F8" s="14" t="str">
        <f aca="false">'Inventory Management'!B5</f>
        <v>Keyboard</v>
      </c>
      <c r="G8" s="13" t="n">
        <f aca="false">'Inventory Management'!G5</f>
        <v>3</v>
      </c>
      <c r="H8" s="13" t="n">
        <f aca="false">'Inventory Management'!H5</f>
        <v>25</v>
      </c>
      <c r="I8" s="55" t="str">
        <f aca="false">'Inventory Management'!K5</f>
        <v>REORDER</v>
      </c>
      <c r="J8" s="34"/>
    </row>
    <row r="9" customFormat="false" ht="15" hidden="false" customHeight="false" outlineLevel="0" collapsed="false">
      <c r="A9" s="17" t="s">
        <v>265</v>
      </c>
      <c r="B9" s="16" t="n">
        <f aca="false">COUNTIFS(OrdersTable[Actual Delivery],"&gt;="&amp;$B$4,OrdersTable[Actual Delivery],"&lt;"&amp;$B$5+1)</f>
        <v>2</v>
      </c>
      <c r="C9" s="15" t="s">
        <v>264</v>
      </c>
      <c r="D9" s="34"/>
      <c r="E9" s="15" t="str">
        <f aca="false">'Inventory Management'!A7</f>
        <v>P004</v>
      </c>
      <c r="F9" s="17" t="str">
        <f aca="false">'Inventory Management'!B7</f>
        <v>Laptop Stand</v>
      </c>
      <c r="G9" s="16" t="n">
        <f aca="false">'Inventory Management'!G7</f>
        <v>12</v>
      </c>
      <c r="H9" s="16" t="n">
        <f aca="false">'Inventory Management'!H7</f>
        <v>20</v>
      </c>
      <c r="I9" s="55" t="str">
        <f aca="false">'Inventory Management'!K7</f>
        <v>REORDER</v>
      </c>
      <c r="J9" s="34"/>
    </row>
    <row r="10" customFormat="false" ht="15" hidden="false" customHeight="false" outlineLevel="0" collapsed="false">
      <c r="A10" s="14" t="s">
        <v>266</v>
      </c>
      <c r="B10" s="13" t="n">
        <f aca="false">COUNTIFS(FMSTable[Activity Date],"&gt;="&amp;$B$4,FMSTable[Activity Date],"&lt;"&amp;$B$5+1)</f>
        <v>2</v>
      </c>
      <c r="C10" s="12" t="s">
        <v>267</v>
      </c>
      <c r="D10" s="34"/>
      <c r="E10" s="12" t="str">
        <f aca="false">'Inventory Management'!A8</f>
        <v>P005</v>
      </c>
      <c r="F10" s="14" t="str">
        <f aca="false">'Inventory Management'!B8</f>
        <v>Webcam HD</v>
      </c>
      <c r="G10" s="13" t="n">
        <f aca="false">'Inventory Management'!G8</f>
        <v>3</v>
      </c>
      <c r="H10" s="13" t="n">
        <f aca="false">'Inventory Management'!H8</f>
        <v>15</v>
      </c>
      <c r="I10" s="55" t="str">
        <f aca="false">'Inventory Management'!K8</f>
        <v>REORDER</v>
      </c>
      <c r="J10" s="34"/>
    </row>
    <row r="11" customFormat="false" ht="15" hidden="false" customHeight="false" outlineLevel="0" collapsed="false">
      <c r="A11" s="17" t="s">
        <v>268</v>
      </c>
      <c r="B11" s="16" t="n">
        <f aca="false">COUNTIFS(FMSTable[Activity Date],"&gt;="&amp;$B$4,FMSTable[Activity Date],"&lt;"&amp;$B$5+1,FMSTable[Status],"Completed")</f>
        <v>2</v>
      </c>
      <c r="C11" s="15" t="s">
        <v>267</v>
      </c>
      <c r="D11" s="34"/>
      <c r="E11" s="15" t="str">
        <f aca="false">'Inventory Management'!A13</f>
        <v>P010</v>
      </c>
      <c r="F11" s="17" t="str">
        <f aca="false">'Inventory Management'!B13</f>
        <v>Portable SSD</v>
      </c>
      <c r="G11" s="16" t="n">
        <f aca="false">'Inventory Management'!G13</f>
        <v>5</v>
      </c>
      <c r="H11" s="16" t="n">
        <f aca="false">'Inventory Management'!H13</f>
        <v>12</v>
      </c>
      <c r="I11" s="55" t="str">
        <f aca="false">'Inventory Management'!K13</f>
        <v>REORDER</v>
      </c>
      <c r="J11" s="34"/>
    </row>
    <row r="12" customFormat="false" ht="15" hidden="false" customHeight="false" outlineLevel="0" collapsed="false">
      <c r="A12" s="14" t="s">
        <v>269</v>
      </c>
      <c r="B12" s="13" t="n">
        <f aca="false">COUNTIFS(ChecklistTable[Due Date],"&gt;="&amp;$B$4,ChecklistTable[Due Date],"&lt;"&amp;$B$5+1)</f>
        <v>1</v>
      </c>
      <c r="C12" s="12" t="s">
        <v>270</v>
      </c>
      <c r="D12" s="34"/>
      <c r="E12" s="34"/>
      <c r="F12" s="34"/>
      <c r="G12" s="34"/>
      <c r="H12" s="34"/>
      <c r="I12" s="34"/>
      <c r="J12" s="34"/>
    </row>
    <row r="13" customFormat="false" ht="15" hidden="false" customHeight="false" outlineLevel="0" collapsed="false">
      <c r="A13" s="17" t="s">
        <v>271</v>
      </c>
      <c r="B13" s="16" t="n">
        <f aca="false">COUNTIFS(ChecklistTable[Completion Date],"&gt;="&amp;$B$4,ChecklistTable[Completion Date],"&lt;"&amp;$B$5+1,ChecklistTable[Compliance Status],"On Time")</f>
        <v>1</v>
      </c>
      <c r="C13" s="15" t="s">
        <v>270</v>
      </c>
      <c r="D13" s="34"/>
      <c r="E13" s="34"/>
      <c r="F13" s="34"/>
      <c r="G13" s="34"/>
      <c r="H13" s="34"/>
      <c r="I13" s="34"/>
      <c r="J13" s="34"/>
    </row>
    <row r="14" customFormat="false" ht="15" hidden="false" customHeight="false" outlineLevel="0" collapsed="false">
      <c r="A14" s="14" t="s">
        <v>272</v>
      </c>
      <c r="B14" s="13" t="n">
        <f aca="false">COUNTIF(InventoryTable[Reorder Alert],"REORDER")</f>
        <v>4</v>
      </c>
      <c r="C14" s="12" t="s">
        <v>273</v>
      </c>
      <c r="D14" s="34"/>
      <c r="E14" s="34"/>
      <c r="F14" s="34"/>
      <c r="G14" s="34"/>
      <c r="H14" s="34"/>
      <c r="I14" s="34"/>
      <c r="J14" s="34"/>
    </row>
    <row r="15" customFormat="false" ht="15" hidden="false" customHeight="false" outlineLevel="0" collapsed="false">
      <c r="A15" s="42" t="s">
        <v>274</v>
      </c>
      <c r="B15" s="56" t="n">
        <f aca="false">SUMIFS(OrdersTable[Order Value (₹)],OrdersTable[Order Date],"&gt;="&amp;$B$4,OrdersTable[Order Date],"&lt;"&amp;$B$5+1)</f>
        <v>2398</v>
      </c>
      <c r="C15" s="57" t="s">
        <v>275</v>
      </c>
      <c r="D15" s="34"/>
      <c r="E15" s="34"/>
      <c r="F15" s="34"/>
      <c r="G15" s="34"/>
      <c r="H15" s="34"/>
      <c r="I15" s="34"/>
      <c r="J15" s="34"/>
    </row>
    <row r="16" customFormat="false" ht="15" hidden="false" customHeight="false" outlineLevel="0" collapsed="false">
      <c r="A16" s="58" t="s">
        <v>276</v>
      </c>
      <c r="B16" s="59" t="n">
        <f aca="false">SUM(InventoryTable[Inventory Value (₹)])</f>
        <v>384115</v>
      </c>
      <c r="C16" s="60" t="s">
        <v>273</v>
      </c>
      <c r="D16" s="34"/>
      <c r="E16" s="34"/>
      <c r="F16" s="34"/>
      <c r="G16" s="34"/>
      <c r="H16" s="34"/>
      <c r="I16" s="34"/>
      <c r="J16" s="34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</row>
  </sheetData>
  <mergeCells count="4">
    <mergeCell ref="A1:I1"/>
    <mergeCell ref="A2:I2"/>
    <mergeCell ref="D4:I5"/>
    <mergeCell ref="E6:I6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8" min="5" style="0" width="18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278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4"/>
    </row>
    <row r="4" customFormat="false" ht="15" hidden="false" customHeight="false" outlineLevel="0" collapsed="false">
      <c r="A4" s="52" t="s">
        <v>255</v>
      </c>
      <c r="B4" s="53" t="n">
        <f aca="true">TODAY()-WEEKDAY(TODAY(),2)+1</f>
        <v>46314</v>
      </c>
      <c r="C4" s="34"/>
      <c r="D4" s="54" t="s">
        <v>256</v>
      </c>
      <c r="E4" s="54"/>
      <c r="F4" s="54"/>
      <c r="G4" s="54"/>
      <c r="H4" s="54"/>
      <c r="I4" s="54"/>
      <c r="J4" s="34"/>
    </row>
    <row r="5" customFormat="false" ht="15" hidden="false" customHeight="false" outlineLevel="0" collapsed="false">
      <c r="A5" s="52" t="s">
        <v>257</v>
      </c>
      <c r="B5" s="53" t="n">
        <f aca="true">TODAY()-WEEKDAY(TODAY(),2)+7</f>
        <v>46320</v>
      </c>
      <c r="C5" s="34"/>
      <c r="D5" s="54"/>
      <c r="E5" s="54"/>
      <c r="F5" s="54"/>
      <c r="G5" s="54"/>
      <c r="H5" s="54"/>
      <c r="I5" s="54"/>
      <c r="J5" s="34"/>
    </row>
    <row r="6" customFormat="false" ht="15" hidden="false" customHeight="false" outlineLevel="0" collapsed="false">
      <c r="A6" s="34"/>
      <c r="B6" s="34"/>
      <c r="C6" s="34"/>
      <c r="D6" s="34"/>
      <c r="E6" s="25" t="s">
        <v>258</v>
      </c>
      <c r="F6" s="25"/>
      <c r="G6" s="25"/>
      <c r="H6" s="25"/>
      <c r="I6" s="25"/>
      <c r="J6" s="34"/>
    </row>
    <row r="7" customFormat="false" ht="31.5" hidden="false" customHeight="true" outlineLevel="0" collapsed="false">
      <c r="A7" s="11" t="s">
        <v>259</v>
      </c>
      <c r="B7" s="10" t="s">
        <v>260</v>
      </c>
      <c r="C7" s="10" t="s">
        <v>261</v>
      </c>
      <c r="D7" s="34"/>
      <c r="E7" s="10" t="s">
        <v>80</v>
      </c>
      <c r="F7" s="11" t="s">
        <v>200</v>
      </c>
      <c r="G7" s="10" t="s">
        <v>205</v>
      </c>
      <c r="H7" s="10" t="s">
        <v>206</v>
      </c>
      <c r="I7" s="10" t="s">
        <v>262</v>
      </c>
      <c r="J7" s="34"/>
    </row>
    <row r="8" customFormat="false" ht="15" hidden="false" customHeight="false" outlineLevel="0" collapsed="false">
      <c r="A8" s="14" t="s">
        <v>263</v>
      </c>
      <c r="B8" s="13" t="n">
        <f aca="false">COUNTIFS(OrdersTable[Order Date],"&gt;="&amp;$B$4,OrdersTable[Order Date],"&lt;"&amp;$B$5+1)</f>
        <v>1</v>
      </c>
      <c r="C8" s="12" t="s">
        <v>264</v>
      </c>
      <c r="D8" s="34"/>
      <c r="E8" s="12" t="str">
        <f aca="false">'Inventory Management'!A5</f>
        <v>P002</v>
      </c>
      <c r="F8" s="14" t="str">
        <f aca="false">'Inventory Management'!B5</f>
        <v>Keyboard</v>
      </c>
      <c r="G8" s="13" t="n">
        <f aca="false">'Inventory Management'!G5</f>
        <v>3</v>
      </c>
      <c r="H8" s="13" t="n">
        <f aca="false">'Inventory Management'!H5</f>
        <v>25</v>
      </c>
      <c r="I8" s="55" t="str">
        <f aca="false">'Inventory Management'!K5</f>
        <v>REORDER</v>
      </c>
      <c r="J8" s="34"/>
    </row>
    <row r="9" customFormat="false" ht="15" hidden="false" customHeight="false" outlineLevel="0" collapsed="false">
      <c r="A9" s="17" t="s">
        <v>265</v>
      </c>
      <c r="B9" s="16" t="n">
        <f aca="false">COUNTIFS(OrdersTable[Actual Delivery],"&gt;="&amp;$B$4,OrdersTable[Actual Delivery],"&lt;"&amp;$B$5+1)</f>
        <v>2</v>
      </c>
      <c r="C9" s="15" t="s">
        <v>264</v>
      </c>
      <c r="D9" s="34"/>
      <c r="E9" s="15" t="str">
        <f aca="false">'Inventory Management'!A7</f>
        <v>P004</v>
      </c>
      <c r="F9" s="17" t="str">
        <f aca="false">'Inventory Management'!B7</f>
        <v>Laptop Stand</v>
      </c>
      <c r="G9" s="16" t="n">
        <f aca="false">'Inventory Management'!G7</f>
        <v>12</v>
      </c>
      <c r="H9" s="16" t="n">
        <f aca="false">'Inventory Management'!H7</f>
        <v>20</v>
      </c>
      <c r="I9" s="55" t="str">
        <f aca="false">'Inventory Management'!K7</f>
        <v>REORDER</v>
      </c>
      <c r="J9" s="34"/>
    </row>
    <row r="10" customFormat="false" ht="15" hidden="false" customHeight="false" outlineLevel="0" collapsed="false">
      <c r="A10" s="14" t="s">
        <v>266</v>
      </c>
      <c r="B10" s="13" t="n">
        <f aca="false">COUNTIFS(FMSTable[Activity Date],"&gt;="&amp;$B$4,FMSTable[Activity Date],"&lt;"&amp;$B$5+1)</f>
        <v>2</v>
      </c>
      <c r="C10" s="12" t="s">
        <v>267</v>
      </c>
      <c r="D10" s="34"/>
      <c r="E10" s="12" t="str">
        <f aca="false">'Inventory Management'!A8</f>
        <v>P005</v>
      </c>
      <c r="F10" s="14" t="str">
        <f aca="false">'Inventory Management'!B8</f>
        <v>Webcam HD</v>
      </c>
      <c r="G10" s="13" t="n">
        <f aca="false">'Inventory Management'!G8</f>
        <v>3</v>
      </c>
      <c r="H10" s="13" t="n">
        <f aca="false">'Inventory Management'!H8</f>
        <v>15</v>
      </c>
      <c r="I10" s="55" t="str">
        <f aca="false">'Inventory Management'!K8</f>
        <v>REORDER</v>
      </c>
      <c r="J10" s="34"/>
    </row>
    <row r="11" customFormat="false" ht="15" hidden="false" customHeight="false" outlineLevel="0" collapsed="false">
      <c r="A11" s="17" t="s">
        <v>268</v>
      </c>
      <c r="B11" s="16" t="n">
        <f aca="false">COUNTIFS(FMSTable[Activity Date],"&gt;="&amp;$B$4,FMSTable[Activity Date],"&lt;"&amp;$B$5+1,FMSTable[Status],"Completed")</f>
        <v>2</v>
      </c>
      <c r="C11" s="15" t="s">
        <v>267</v>
      </c>
      <c r="D11" s="34"/>
      <c r="E11" s="15" t="str">
        <f aca="false">'Inventory Management'!A13</f>
        <v>P010</v>
      </c>
      <c r="F11" s="17" t="str">
        <f aca="false">'Inventory Management'!B13</f>
        <v>Portable SSD</v>
      </c>
      <c r="G11" s="16" t="n">
        <f aca="false">'Inventory Management'!G13</f>
        <v>5</v>
      </c>
      <c r="H11" s="16" t="n">
        <f aca="false">'Inventory Management'!H13</f>
        <v>12</v>
      </c>
      <c r="I11" s="55" t="str">
        <f aca="false">'Inventory Management'!K13</f>
        <v>REORDER</v>
      </c>
      <c r="J11" s="34"/>
    </row>
    <row r="12" customFormat="false" ht="15" hidden="false" customHeight="false" outlineLevel="0" collapsed="false">
      <c r="A12" s="14" t="s">
        <v>269</v>
      </c>
      <c r="B12" s="13" t="n">
        <f aca="false">COUNTIFS(ChecklistTable[Due Date],"&gt;="&amp;$B$4,ChecklistTable[Due Date],"&lt;"&amp;$B$5+1)</f>
        <v>13</v>
      </c>
      <c r="C12" s="12" t="s">
        <v>270</v>
      </c>
      <c r="D12" s="34"/>
      <c r="E12" s="34"/>
      <c r="F12" s="34"/>
      <c r="G12" s="34"/>
      <c r="H12" s="34"/>
      <c r="I12" s="34"/>
      <c r="J12" s="34"/>
    </row>
    <row r="13" customFormat="false" ht="15" hidden="false" customHeight="false" outlineLevel="0" collapsed="false">
      <c r="A13" s="17" t="s">
        <v>271</v>
      </c>
      <c r="B13" s="16" t="n">
        <f aca="false">COUNTIFS(ChecklistTable[Completion Date],"&gt;="&amp;$B$4,ChecklistTable[Completion Date],"&lt;"&amp;$B$5+1,ChecklistTable[Compliance Status],"On Time")</f>
        <v>2</v>
      </c>
      <c r="C13" s="15" t="s">
        <v>270</v>
      </c>
      <c r="D13" s="34"/>
      <c r="E13" s="34"/>
      <c r="F13" s="34"/>
      <c r="G13" s="34"/>
      <c r="H13" s="34"/>
      <c r="I13" s="34"/>
      <c r="J13" s="34"/>
    </row>
    <row r="14" customFormat="false" ht="15" hidden="false" customHeight="false" outlineLevel="0" collapsed="false">
      <c r="A14" s="14" t="s">
        <v>272</v>
      </c>
      <c r="B14" s="13" t="n">
        <f aca="false">COUNTIF(InventoryTable[Reorder Alert],"REORDER")</f>
        <v>4</v>
      </c>
      <c r="C14" s="12" t="s">
        <v>273</v>
      </c>
      <c r="D14" s="34"/>
      <c r="E14" s="34"/>
      <c r="F14" s="34"/>
      <c r="G14" s="34"/>
      <c r="H14" s="34"/>
      <c r="I14" s="34"/>
      <c r="J14" s="34"/>
    </row>
    <row r="15" customFormat="false" ht="15" hidden="false" customHeight="false" outlineLevel="0" collapsed="false">
      <c r="A15" s="42" t="s">
        <v>274</v>
      </c>
      <c r="B15" s="56" t="n">
        <f aca="false">SUMIFS(OrdersTable[Order Value (₹)],OrdersTable[Order Date],"&gt;="&amp;$B$4,OrdersTable[Order Date],"&lt;"&amp;$B$5+1)</f>
        <v>2398</v>
      </c>
      <c r="C15" s="57" t="s">
        <v>275</v>
      </c>
      <c r="D15" s="34"/>
      <c r="E15" s="34"/>
      <c r="F15" s="34"/>
      <c r="G15" s="34"/>
      <c r="H15" s="34"/>
      <c r="I15" s="34"/>
      <c r="J15" s="34"/>
    </row>
    <row r="16" customFormat="false" ht="15" hidden="false" customHeight="false" outlineLevel="0" collapsed="false">
      <c r="A16" s="58" t="s">
        <v>276</v>
      </c>
      <c r="B16" s="59" t="n">
        <f aca="false">SUM(InventoryTable[Inventory Value (₹)])</f>
        <v>384115</v>
      </c>
      <c r="C16" s="60" t="s">
        <v>273</v>
      </c>
      <c r="D16" s="34"/>
      <c r="E16" s="34"/>
      <c r="F16" s="34"/>
      <c r="G16" s="34"/>
      <c r="H16" s="34"/>
      <c r="I16" s="34"/>
      <c r="J16" s="34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</row>
  </sheetData>
  <mergeCells count="4">
    <mergeCell ref="A1:I1"/>
    <mergeCell ref="A2:I2"/>
    <mergeCell ref="D4:I5"/>
    <mergeCell ref="E6:I6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8" min="5" style="0" width="18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4"/>
    </row>
    <row r="4" customFormat="false" ht="15" hidden="false" customHeight="false" outlineLevel="0" collapsed="false">
      <c r="A4" s="52" t="s">
        <v>255</v>
      </c>
      <c r="B4" s="53" t="n">
        <f aca="true">DATE(YEAR(TODAY()),MONTH(TODAY()),1)</f>
        <v>46296</v>
      </c>
      <c r="C4" s="34"/>
      <c r="D4" s="54" t="s">
        <v>256</v>
      </c>
      <c r="E4" s="54"/>
      <c r="F4" s="54"/>
      <c r="G4" s="54"/>
      <c r="H4" s="54"/>
      <c r="I4" s="54"/>
      <c r="J4" s="34"/>
    </row>
    <row r="5" customFormat="false" ht="15" hidden="false" customHeight="false" outlineLevel="0" collapsed="false">
      <c r="A5" s="52" t="s">
        <v>257</v>
      </c>
      <c r="B5" s="53" t="n">
        <f aca="true">EOMONTH(TODAY(),0)</f>
        <v>46326</v>
      </c>
      <c r="C5" s="34"/>
      <c r="D5" s="54"/>
      <c r="E5" s="54"/>
      <c r="F5" s="54"/>
      <c r="G5" s="54"/>
      <c r="H5" s="54"/>
      <c r="I5" s="54"/>
      <c r="J5" s="34"/>
    </row>
    <row r="6" customFormat="false" ht="15" hidden="false" customHeight="false" outlineLevel="0" collapsed="false">
      <c r="A6" s="34"/>
      <c r="B6" s="34"/>
      <c r="C6" s="34"/>
      <c r="D6" s="34"/>
      <c r="E6" s="25" t="s">
        <v>258</v>
      </c>
      <c r="F6" s="25"/>
      <c r="G6" s="25"/>
      <c r="H6" s="25"/>
      <c r="I6" s="25"/>
      <c r="J6" s="34"/>
    </row>
    <row r="7" customFormat="false" ht="31.5" hidden="false" customHeight="true" outlineLevel="0" collapsed="false">
      <c r="A7" s="11" t="s">
        <v>259</v>
      </c>
      <c r="B7" s="10" t="s">
        <v>260</v>
      </c>
      <c r="C7" s="10" t="s">
        <v>261</v>
      </c>
      <c r="D7" s="34"/>
      <c r="E7" s="10" t="s">
        <v>80</v>
      </c>
      <c r="F7" s="11" t="s">
        <v>200</v>
      </c>
      <c r="G7" s="10" t="s">
        <v>205</v>
      </c>
      <c r="H7" s="10" t="s">
        <v>206</v>
      </c>
      <c r="I7" s="10" t="s">
        <v>262</v>
      </c>
      <c r="J7" s="34"/>
    </row>
    <row r="8" customFormat="false" ht="15" hidden="false" customHeight="false" outlineLevel="0" collapsed="false">
      <c r="A8" s="14" t="s">
        <v>263</v>
      </c>
      <c r="B8" s="13" t="n">
        <f aca="false">COUNTIFS(OrdersTable[Order Date],"&gt;="&amp;$B$4,OrdersTable[Order Date],"&lt;"&amp;$B$5+1)</f>
        <v>16</v>
      </c>
      <c r="C8" s="12" t="s">
        <v>264</v>
      </c>
      <c r="D8" s="34"/>
      <c r="E8" s="12" t="str">
        <f aca="false">'Inventory Management'!A5</f>
        <v>P002</v>
      </c>
      <c r="F8" s="14" t="str">
        <f aca="false">'Inventory Management'!B5</f>
        <v>Keyboard</v>
      </c>
      <c r="G8" s="13" t="n">
        <f aca="false">'Inventory Management'!G5</f>
        <v>3</v>
      </c>
      <c r="H8" s="13" t="n">
        <f aca="false">'Inventory Management'!H5</f>
        <v>25</v>
      </c>
      <c r="I8" s="55" t="str">
        <f aca="false">'Inventory Management'!K5</f>
        <v>REORDER</v>
      </c>
      <c r="J8" s="34"/>
    </row>
    <row r="9" customFormat="false" ht="15" hidden="false" customHeight="false" outlineLevel="0" collapsed="false">
      <c r="A9" s="17" t="s">
        <v>265</v>
      </c>
      <c r="B9" s="16" t="n">
        <f aca="false">COUNTIFS(OrdersTable[Actual Delivery],"&gt;="&amp;$B$4,OrdersTable[Actual Delivery],"&lt;"&amp;$B$5+1)</f>
        <v>11</v>
      </c>
      <c r="C9" s="15" t="s">
        <v>264</v>
      </c>
      <c r="D9" s="34"/>
      <c r="E9" s="15" t="str">
        <f aca="false">'Inventory Management'!A7</f>
        <v>P004</v>
      </c>
      <c r="F9" s="17" t="str">
        <f aca="false">'Inventory Management'!B7</f>
        <v>Laptop Stand</v>
      </c>
      <c r="G9" s="16" t="n">
        <f aca="false">'Inventory Management'!G7</f>
        <v>12</v>
      </c>
      <c r="H9" s="16" t="n">
        <f aca="false">'Inventory Management'!H7</f>
        <v>20</v>
      </c>
      <c r="I9" s="55" t="str">
        <f aca="false">'Inventory Management'!K7</f>
        <v>REORDER</v>
      </c>
      <c r="J9" s="34"/>
    </row>
    <row r="10" customFormat="false" ht="15" hidden="false" customHeight="false" outlineLevel="0" collapsed="false">
      <c r="A10" s="14" t="s">
        <v>266</v>
      </c>
      <c r="B10" s="13" t="n">
        <f aca="false">COUNTIFS(FMSTable[Activity Date],"&gt;="&amp;$B$4,FMSTable[Activity Date],"&lt;"&amp;$B$5+1)</f>
        <v>19</v>
      </c>
      <c r="C10" s="12" t="s">
        <v>267</v>
      </c>
      <c r="D10" s="34"/>
      <c r="E10" s="12" t="str">
        <f aca="false">'Inventory Management'!A8</f>
        <v>P005</v>
      </c>
      <c r="F10" s="14" t="str">
        <f aca="false">'Inventory Management'!B8</f>
        <v>Webcam HD</v>
      </c>
      <c r="G10" s="13" t="n">
        <f aca="false">'Inventory Management'!G8</f>
        <v>3</v>
      </c>
      <c r="H10" s="13" t="n">
        <f aca="false">'Inventory Management'!H8</f>
        <v>15</v>
      </c>
      <c r="I10" s="55" t="str">
        <f aca="false">'Inventory Management'!K8</f>
        <v>REORDER</v>
      </c>
      <c r="J10" s="34"/>
    </row>
    <row r="11" customFormat="false" ht="15" hidden="false" customHeight="false" outlineLevel="0" collapsed="false">
      <c r="A11" s="17" t="s">
        <v>268</v>
      </c>
      <c r="B11" s="16" t="n">
        <f aca="false">COUNTIFS(FMSTable[Activity Date],"&gt;="&amp;$B$4,FMSTable[Activity Date],"&lt;"&amp;$B$5+1,FMSTable[Status],"Completed")</f>
        <v>13</v>
      </c>
      <c r="C11" s="15" t="s">
        <v>267</v>
      </c>
      <c r="D11" s="34"/>
      <c r="E11" s="15" t="str">
        <f aca="false">'Inventory Management'!A13</f>
        <v>P010</v>
      </c>
      <c r="F11" s="17" t="str">
        <f aca="false">'Inventory Management'!B13</f>
        <v>Portable SSD</v>
      </c>
      <c r="G11" s="16" t="n">
        <f aca="false">'Inventory Management'!G13</f>
        <v>5</v>
      </c>
      <c r="H11" s="16" t="n">
        <f aca="false">'Inventory Management'!H13</f>
        <v>12</v>
      </c>
      <c r="I11" s="55" t="str">
        <f aca="false">'Inventory Management'!K13</f>
        <v>REORDER</v>
      </c>
      <c r="J11" s="34"/>
    </row>
    <row r="12" customFormat="false" ht="15" hidden="false" customHeight="false" outlineLevel="0" collapsed="false">
      <c r="A12" s="14" t="s">
        <v>269</v>
      </c>
      <c r="B12" s="13" t="n">
        <f aca="false">COUNTIFS(ChecklistTable[Due Date],"&gt;="&amp;$B$4,ChecklistTable[Due Date],"&lt;"&amp;$B$5+1)</f>
        <v>35</v>
      </c>
      <c r="C12" s="12" t="s">
        <v>270</v>
      </c>
      <c r="D12" s="34"/>
      <c r="E12" s="34"/>
      <c r="F12" s="34"/>
      <c r="G12" s="34"/>
      <c r="H12" s="34"/>
      <c r="I12" s="34"/>
      <c r="J12" s="34"/>
    </row>
    <row r="13" customFormat="false" ht="15" hidden="false" customHeight="false" outlineLevel="0" collapsed="false">
      <c r="A13" s="17" t="s">
        <v>271</v>
      </c>
      <c r="B13" s="16" t="n">
        <f aca="false">COUNTIFS(ChecklistTable[Completion Date],"&gt;="&amp;$B$4,ChecklistTable[Completion Date],"&lt;"&amp;$B$5+1,ChecklistTable[Compliance Status],"On Time")</f>
        <v>14</v>
      </c>
      <c r="C13" s="15" t="s">
        <v>270</v>
      </c>
      <c r="D13" s="34"/>
      <c r="E13" s="34"/>
      <c r="F13" s="34"/>
      <c r="G13" s="34"/>
      <c r="H13" s="34"/>
      <c r="I13" s="34"/>
      <c r="J13" s="34"/>
    </row>
    <row r="14" customFormat="false" ht="15" hidden="false" customHeight="false" outlineLevel="0" collapsed="false">
      <c r="A14" s="14" t="s">
        <v>272</v>
      </c>
      <c r="B14" s="13" t="n">
        <f aca="false">COUNTIF(InventoryTable[Reorder Alert],"REORDER")</f>
        <v>4</v>
      </c>
      <c r="C14" s="12" t="s">
        <v>273</v>
      </c>
      <c r="D14" s="34"/>
      <c r="E14" s="34"/>
      <c r="F14" s="34"/>
      <c r="G14" s="34"/>
      <c r="H14" s="34"/>
      <c r="I14" s="34"/>
      <c r="J14" s="34"/>
    </row>
    <row r="15" customFormat="false" ht="15" hidden="false" customHeight="false" outlineLevel="0" collapsed="false">
      <c r="A15" s="42" t="s">
        <v>274</v>
      </c>
      <c r="B15" s="56" t="n">
        <f aca="false">SUMIFS(OrdersTable[Order Value (₹)],OrdersTable[Order Date],"&gt;="&amp;$B$4,OrdersTable[Order Date],"&lt;"&amp;$B$5+1)</f>
        <v>116281</v>
      </c>
      <c r="C15" s="57" t="s">
        <v>275</v>
      </c>
      <c r="D15" s="34"/>
      <c r="E15" s="34"/>
      <c r="F15" s="34"/>
      <c r="G15" s="34"/>
      <c r="H15" s="34"/>
      <c r="I15" s="34"/>
      <c r="J15" s="34"/>
    </row>
    <row r="16" customFormat="false" ht="15" hidden="false" customHeight="false" outlineLevel="0" collapsed="false">
      <c r="A16" s="58" t="s">
        <v>276</v>
      </c>
      <c r="B16" s="59" t="n">
        <f aca="false">SUM(InventoryTable[Inventory Value (₹)])</f>
        <v>384115</v>
      </c>
      <c r="C16" s="60" t="s">
        <v>273</v>
      </c>
      <c r="D16" s="34"/>
      <c r="E16" s="34"/>
      <c r="F16" s="34"/>
      <c r="G16" s="34"/>
      <c r="H16" s="34"/>
      <c r="I16" s="34"/>
      <c r="J16" s="34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</row>
  </sheetData>
  <mergeCells count="4">
    <mergeCell ref="A1:I1"/>
    <mergeCell ref="A2:I2"/>
    <mergeCell ref="D4:I5"/>
    <mergeCell ref="E6:I6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2F3"/>
    <pageSetUpPr fitToPage="true"/>
  </sheetPr>
  <dimension ref="A1:X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5"/>
    <col collapsed="false" customWidth="true" hidden="false" outlineLevel="0" max="4" min="4" style="0" width="27"/>
    <col collapsed="false" customWidth="true" hidden="false" outlineLevel="0" max="5" min="5" style="0" width="25"/>
    <col collapsed="false" customWidth="true" hidden="false" outlineLevel="0" max="7" min="6" style="0" width="24"/>
    <col collapsed="false" customWidth="true" hidden="false" outlineLevel="0" max="8" min="8" style="0" width="16"/>
    <col collapsed="false" customWidth="true" hidden="false" outlineLevel="0" max="10" min="9" style="0" width="15"/>
    <col collapsed="false" customWidth="true" hidden="false" outlineLevel="0" max="11" min="11" style="0" width="3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27"/>
    <col collapsed="false" customWidth="true" hidden="false" outlineLevel="0" max="15" min="15" style="0" width="24"/>
    <col collapsed="false" customWidth="true" hidden="false" outlineLevel="0" max="18" min="16" style="0" width="23"/>
    <col collapsed="false" customWidth="true" hidden="false" outlineLevel="0" max="19" min="19" style="0" width="16"/>
    <col collapsed="false" customWidth="true" hidden="false" outlineLevel="0" max="20" min="20" style="0" width="21"/>
    <col collapsed="false" customWidth="true" hidden="false" outlineLevel="0" max="21" min="21" style="0" width="16"/>
    <col collapsed="false" customWidth="true" hidden="false" outlineLevel="0" max="22" min="22" style="0" width="3"/>
    <col collapsed="false" customWidth="true" hidden="false" outlineLevel="0" max="23" min="23" style="0" width="26"/>
    <col collapsed="false" customWidth="true" hidden="false" outlineLevel="0" max="24" min="24" style="0" width="21"/>
  </cols>
  <sheetData>
    <row r="1" customFormat="false" ht="27.75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5" t="s">
        <v>283</v>
      </c>
      <c r="B3" s="25"/>
      <c r="C3" s="25"/>
      <c r="D3" s="25"/>
      <c r="E3" s="25"/>
      <c r="F3" s="25"/>
      <c r="G3" s="25"/>
      <c r="H3" s="25"/>
      <c r="I3" s="25"/>
      <c r="J3" s="25"/>
      <c r="L3" s="25" t="s">
        <v>284</v>
      </c>
      <c r="M3" s="25"/>
      <c r="N3" s="25"/>
      <c r="O3" s="25"/>
      <c r="P3" s="25"/>
      <c r="Q3" s="25"/>
      <c r="R3" s="25"/>
      <c r="S3" s="25"/>
      <c r="T3" s="25"/>
      <c r="U3" s="25"/>
      <c r="W3" s="51" t="s">
        <v>285</v>
      </c>
      <c r="X3" s="51"/>
    </row>
    <row r="4" customFormat="false" ht="31.5" hidden="false" customHeight="true" outlineLevel="0" collapsed="false">
      <c r="A4" s="10" t="s">
        <v>49</v>
      </c>
      <c r="B4" s="10" t="s">
        <v>50</v>
      </c>
      <c r="C4" s="10" t="s">
        <v>51</v>
      </c>
      <c r="D4" s="11" t="s">
        <v>85</v>
      </c>
      <c r="E4" s="11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  <c r="L4" s="10" t="s">
        <v>286</v>
      </c>
      <c r="M4" s="10" t="s">
        <v>51</v>
      </c>
      <c r="N4" s="11" t="s">
        <v>85</v>
      </c>
      <c r="O4" s="11" t="s">
        <v>287</v>
      </c>
      <c r="P4" s="10" t="s">
        <v>288</v>
      </c>
      <c r="Q4" s="10" t="s">
        <v>289</v>
      </c>
      <c r="R4" s="10" t="s">
        <v>290</v>
      </c>
      <c r="S4" s="10" t="s">
        <v>291</v>
      </c>
      <c r="T4" s="10" t="s">
        <v>68</v>
      </c>
      <c r="U4" s="10" t="s">
        <v>292</v>
      </c>
      <c r="W4" s="10" t="s">
        <v>293</v>
      </c>
      <c r="X4" s="10" t="s">
        <v>294</v>
      </c>
    </row>
    <row r="5" customFormat="false" ht="15" hidden="false" customHeight="false" outlineLevel="0" collapsed="false">
      <c r="A5" s="15" t="s">
        <v>295</v>
      </c>
      <c r="B5" s="30" t="n">
        <v>46311</v>
      </c>
      <c r="C5" s="15" t="s">
        <v>112</v>
      </c>
      <c r="D5" s="17" t="str">
        <f aca="false">IFERROR(_xlfn.XLOOKUP(C5,EmployeeTable[Employee ID],EmployeeTable[Employee Name],"Not found"),IFERROR(INDEX(EmployeeTable[Employee Name],MATCH(C5,EmployeeTable[Employee ID],0)),"Not found"))</f>
        <v>Meera Singh</v>
      </c>
      <c r="E5" s="17" t="s">
        <v>296</v>
      </c>
      <c r="F5" s="31" t="n">
        <v>46311.3645833333</v>
      </c>
      <c r="G5" s="31" t="n">
        <v>46311.90625</v>
      </c>
      <c r="H5" s="15" t="s">
        <v>44</v>
      </c>
      <c r="I5" s="32" t="n">
        <f aca="false">IF(G5="","",(G5-F5)*24)</f>
        <v>12.9999999997672</v>
      </c>
      <c r="J5" s="57" t="str">
        <f aca="false">IF(H5="Completed",IF(I5&lt;=4,"Within SLA","Delayed"),"")</f>
        <v>Delayed</v>
      </c>
      <c r="L5" s="15" t="s">
        <v>297</v>
      </c>
      <c r="M5" s="15" t="s">
        <v>135</v>
      </c>
      <c r="N5" s="17" t="str">
        <f aca="false">IFERROR(_xlfn.XLOOKUP(M5,EmployeeTable[Employee ID],EmployeeTable[Employee Name],"Not found"),IFERROR(INDEX(EmployeeTable[Employee Name],MATCH(M5,EmployeeTable[Employee ID],0)),"Not found"))</f>
        <v>Sana Khan</v>
      </c>
      <c r="O5" s="17" t="s">
        <v>298</v>
      </c>
      <c r="P5" s="30" t="n">
        <v>46271</v>
      </c>
      <c r="Q5" s="30" t="n">
        <v>46272</v>
      </c>
      <c r="R5" s="30" t="n">
        <v>46274</v>
      </c>
      <c r="S5" s="15" t="s">
        <v>44</v>
      </c>
      <c r="T5" s="33" t="str">
        <f aca="true">IF(S5="Completed",IF(R5&lt;=Q5,"On Time","Delayed"),IF(Q5&lt;TODAY(),"Overdue","Pending"))</f>
        <v>Delayed</v>
      </c>
      <c r="U5" s="16" t="n">
        <f aca="false">IF(S5="Completed",IF(R5&lt;=Q5,1,0),0)</f>
        <v>0</v>
      </c>
      <c r="W5" s="42" t="s">
        <v>299</v>
      </c>
      <c r="X5" s="43" t="str">
        <f aca="false">IF(SUMPRODUCT(--(COUNTIF(FMSTable[Activity ID],FMSTable[Activity ID])&gt;1))&gt;0,"DUPLICATES FOUND","IDs unique")</f>
        <v>IDs unique</v>
      </c>
    </row>
    <row r="6" customFormat="false" ht="15" hidden="false" customHeight="false" outlineLevel="0" collapsed="false">
      <c r="A6" s="12" t="s">
        <v>300</v>
      </c>
      <c r="B6" s="26" t="n">
        <v>46281</v>
      </c>
      <c r="C6" s="12" t="s">
        <v>129</v>
      </c>
      <c r="D6" s="14" t="str">
        <f aca="false">IFERROR(_xlfn.XLOOKUP(C6,EmployeeTable[Employee ID],EmployeeTable[Employee Name],"Not found"),IFERROR(INDEX(EmployeeTable[Employee Name],MATCH(C6,EmployeeTable[Employee ID],0)),"Not found"))</f>
        <v>Rohan Das</v>
      </c>
      <c r="E6" s="14" t="s">
        <v>301</v>
      </c>
      <c r="F6" s="27" t="n">
        <v>46281.4166666667</v>
      </c>
      <c r="G6" s="27"/>
      <c r="H6" s="12" t="s">
        <v>29</v>
      </c>
      <c r="I6" s="28" t="str">
        <f aca="false">IF(G6="","",(G6-F6)*24)</f>
        <v/>
      </c>
      <c r="J6" s="60" t="str">
        <f aca="false">IF(H6="Completed",IF(I6&lt;=4,"Within SLA","Delayed"),"")</f>
        <v/>
      </c>
      <c r="L6" s="12" t="s">
        <v>302</v>
      </c>
      <c r="M6" s="12" t="s">
        <v>117</v>
      </c>
      <c r="N6" s="14" t="str">
        <f aca="false">IFERROR(_xlfn.XLOOKUP(M6,EmployeeTable[Employee ID],EmployeeTable[Employee Name],"Not found"),IFERROR(INDEX(EmployeeTable[Employee Name],MATCH(M6,EmployeeTable[Employee ID],0)),"Not found"))</f>
        <v>Ishaan Gupta</v>
      </c>
      <c r="O6" s="14" t="s">
        <v>303</v>
      </c>
      <c r="P6" s="26" t="n">
        <v>46304</v>
      </c>
      <c r="Q6" s="26" t="n">
        <v>46309</v>
      </c>
      <c r="R6" s="26" t="n">
        <v>46310</v>
      </c>
      <c r="S6" s="12" t="s">
        <v>44</v>
      </c>
      <c r="T6" s="29" t="str">
        <f aca="true">IF(S6="Completed",IF(R6&lt;=Q6,"On Time","Delayed"),IF(Q6&lt;TODAY(),"Overdue","Pending"))</f>
        <v>Delayed</v>
      </c>
      <c r="U6" s="13" t="n">
        <f aca="false">IF(S6="Completed",IF(R6&lt;=Q6,1,0),0)</f>
        <v>0</v>
      </c>
      <c r="W6" s="42" t="s">
        <v>304</v>
      </c>
      <c r="X6" s="43" t="str">
        <f aca="false">IF(COUNTBLANK(FMSTable[Activity ID])&gt;0,"MISSING VALUES","Complete")</f>
        <v>Complete</v>
      </c>
    </row>
    <row r="7" customFormat="false" ht="15" hidden="false" customHeight="false" outlineLevel="0" collapsed="false">
      <c r="A7" s="15" t="s">
        <v>305</v>
      </c>
      <c r="B7" s="30" t="n">
        <v>46309</v>
      </c>
      <c r="C7" s="15" t="s">
        <v>145</v>
      </c>
      <c r="D7" s="17" t="str">
        <f aca="false">IFERROR(_xlfn.XLOOKUP(C7,EmployeeTable[Employee ID],EmployeeTable[Employee Name],"Not found"),IFERROR(INDEX(EmployeeTable[Employee Name],MATCH(C7,EmployeeTable[Employee ID],0)),"Not found"))</f>
        <v>Ira Nair</v>
      </c>
      <c r="E7" s="17" t="s">
        <v>306</v>
      </c>
      <c r="F7" s="31" t="n">
        <v>46309.8854166667</v>
      </c>
      <c r="G7" s="31" t="n">
        <v>46309.9375</v>
      </c>
      <c r="H7" s="15" t="s">
        <v>44</v>
      </c>
      <c r="I7" s="32" t="n">
        <f aca="false">IF(G7="","",(G7-F7)*24)</f>
        <v>1.25000000023283</v>
      </c>
      <c r="J7" s="57" t="str">
        <f aca="false">IF(H7="Completed",IF(I7&lt;=4,"Within SLA","Delayed"),"")</f>
        <v>Within SLA</v>
      </c>
      <c r="L7" s="15" t="s">
        <v>307</v>
      </c>
      <c r="M7" s="15" t="s">
        <v>101</v>
      </c>
      <c r="N7" s="17" t="str">
        <f aca="false">IFERROR(_xlfn.XLOOKUP(M7,EmployeeTable[Employee ID],EmployeeTable[Employee Name],"Not found"),IFERROR(INDEX(EmployeeTable[Employee Name],MATCH(M7,EmployeeTable[Employee ID],0)),"Not found"))</f>
        <v>Diya Verma</v>
      </c>
      <c r="O7" s="17" t="s">
        <v>308</v>
      </c>
      <c r="P7" s="30" t="n">
        <v>46272</v>
      </c>
      <c r="Q7" s="30" t="n">
        <v>46277</v>
      </c>
      <c r="R7" s="30" t="n">
        <v>46275</v>
      </c>
      <c r="S7" s="15" t="s">
        <v>44</v>
      </c>
      <c r="T7" s="33" t="str">
        <f aca="true">IF(S7="Completed",IF(R7&lt;=Q7,"On Time","Delayed"),IF(Q7&lt;TODAY(),"Overdue","Pending"))</f>
        <v>On Time</v>
      </c>
      <c r="U7" s="16" t="n">
        <f aca="false">IF(S7="Completed",IF(R7&lt;=Q7,1,0),0)</f>
        <v>1</v>
      </c>
      <c r="W7" s="42" t="s">
        <v>309</v>
      </c>
      <c r="X7" s="43" t="str">
        <f aca="false">IF(SUMPRODUCT(--(COUNTIF(ChecklistTable[Task ID],ChecklistTable[Task ID])&gt;1))&gt;0,"DUPLICATES FOUND","IDs unique")</f>
        <v>IDs unique</v>
      </c>
    </row>
    <row r="8" customFormat="false" ht="15" hidden="false" customHeight="false" outlineLevel="0" collapsed="false">
      <c r="A8" s="12" t="s">
        <v>310</v>
      </c>
      <c r="B8" s="26" t="n">
        <v>46271</v>
      </c>
      <c r="C8" s="12" t="s">
        <v>107</v>
      </c>
      <c r="D8" s="14" t="str">
        <f aca="false">IFERROR(_xlfn.XLOOKUP(C8,EmployeeTable[Employee ID],EmployeeTable[Employee Name],"Not found"),IFERROR(INDEX(EmployeeTable[Employee Name],MATCH(C8,EmployeeTable[Employee ID],0)),"Not found"))</f>
        <v>Kabir Patel</v>
      </c>
      <c r="E8" s="14" t="s">
        <v>311</v>
      </c>
      <c r="F8" s="27" t="n">
        <v>46271.8854166667</v>
      </c>
      <c r="G8" s="27" t="n">
        <v>46272.21875</v>
      </c>
      <c r="H8" s="12" t="s">
        <v>44</v>
      </c>
      <c r="I8" s="28" t="n">
        <f aca="false">IF(G8="","",(G8-F8)*24)</f>
        <v>8.00000000023283</v>
      </c>
      <c r="J8" s="60" t="str">
        <f aca="false">IF(H8="Completed",IF(I8&lt;=4,"Within SLA","Delayed"),"")</f>
        <v>Delayed</v>
      </c>
      <c r="L8" s="12" t="s">
        <v>312</v>
      </c>
      <c r="M8" s="12" t="s">
        <v>140</v>
      </c>
      <c r="N8" s="14" t="str">
        <f aca="false">IFERROR(_xlfn.XLOOKUP(M8,EmployeeTable[Employee ID],EmployeeTable[Employee Name],"Not found"),IFERROR(INDEX(EmployeeTable[Employee Name],MATCH(M8,EmployeeTable[Employee ID],0)),"Not found"))</f>
        <v>Vivaan Joshi</v>
      </c>
      <c r="O8" s="14" t="s">
        <v>313</v>
      </c>
      <c r="P8" s="26" t="n">
        <v>46299</v>
      </c>
      <c r="Q8" s="26" t="n">
        <v>46304</v>
      </c>
      <c r="R8" s="26" t="n">
        <v>46303</v>
      </c>
      <c r="S8" s="12" t="s">
        <v>44</v>
      </c>
      <c r="T8" s="29" t="str">
        <f aca="true">IF(S8="Completed",IF(R8&lt;=Q8,"On Time","Delayed"),IF(Q8&lt;TODAY(),"Overdue","Pending"))</f>
        <v>On Time</v>
      </c>
      <c r="U8" s="13" t="n">
        <f aca="false">IF(S8="Completed",IF(R8&lt;=Q8,1,0),0)</f>
        <v>1</v>
      </c>
      <c r="W8" s="42" t="s">
        <v>314</v>
      </c>
      <c r="X8" s="43" t="str">
        <f aca="false">IF(COUNTBLANK(ChecklistTable[Task ID])&gt;0,"MISSING VALUES","Complete")</f>
        <v>Complete</v>
      </c>
    </row>
    <row r="9" customFormat="false" ht="15" hidden="false" customHeight="false" outlineLevel="0" collapsed="false">
      <c r="A9" s="15" t="s">
        <v>315</v>
      </c>
      <c r="B9" s="30" t="n">
        <v>46299</v>
      </c>
      <c r="C9" s="15" t="s">
        <v>123</v>
      </c>
      <c r="D9" s="17" t="str">
        <f aca="false">IFERROR(_xlfn.XLOOKUP(C9,EmployeeTable[Employee ID],EmployeeTable[Employee Name],"Not found"),IFERROR(INDEX(EmployeeTable[Employee Name],MATCH(C9,EmployeeTable[Employee ID],0)),"Not found"))</f>
        <v>Ananya Rao</v>
      </c>
      <c r="E9" s="17" t="s">
        <v>316</v>
      </c>
      <c r="F9" s="31" t="n">
        <v>46299.7083333333</v>
      </c>
      <c r="G9" s="31" t="n">
        <v>46299.9166666667</v>
      </c>
      <c r="H9" s="15" t="s">
        <v>44</v>
      </c>
      <c r="I9" s="32" t="n">
        <f aca="false">IF(G9="","",(G9-F9)*24)</f>
        <v>4.99999999953434</v>
      </c>
      <c r="J9" s="57" t="str">
        <f aca="false">IF(H9="Completed",IF(I9&lt;=4,"Within SLA","Delayed"),"")</f>
        <v>Delayed</v>
      </c>
      <c r="L9" s="15" t="s">
        <v>317</v>
      </c>
      <c r="M9" s="15" t="s">
        <v>123</v>
      </c>
      <c r="N9" s="17" t="str">
        <f aca="false">IFERROR(_xlfn.XLOOKUP(M9,EmployeeTable[Employee ID],EmployeeTable[Employee Name],"Not found"),IFERROR(INDEX(EmployeeTable[Employee Name],MATCH(M9,EmployeeTable[Employee ID],0)),"Not found"))</f>
        <v>Ananya Rao</v>
      </c>
      <c r="O9" s="17" t="s">
        <v>318</v>
      </c>
      <c r="P9" s="30" t="n">
        <v>46305</v>
      </c>
      <c r="Q9" s="30" t="n">
        <v>46305</v>
      </c>
      <c r="R9" s="30" t="n">
        <v>46305</v>
      </c>
      <c r="S9" s="15" t="s">
        <v>44</v>
      </c>
      <c r="T9" s="33" t="str">
        <f aca="true">IF(S9="Completed",IF(R9&lt;=Q9,"On Time","Delayed"),IF(Q9&lt;TODAY(),"Overdue","Pending"))</f>
        <v>On Time</v>
      </c>
      <c r="U9" s="16" t="n">
        <f aca="false">IF(S9="Completed",IF(R9&lt;=Q9,1,0),0)</f>
        <v>1</v>
      </c>
      <c r="W9" s="42" t="s">
        <v>319</v>
      </c>
      <c r="X9" s="45" t="n">
        <f aca="false">COUNTA(FMSTable[Activity ID])</f>
        <v>50</v>
      </c>
    </row>
    <row r="10" customFormat="false" ht="15" hidden="false" customHeight="false" outlineLevel="0" collapsed="false">
      <c r="A10" s="12" t="s">
        <v>320</v>
      </c>
      <c r="B10" s="26" t="n">
        <v>46272</v>
      </c>
      <c r="C10" s="12" t="s">
        <v>140</v>
      </c>
      <c r="D10" s="14" t="str">
        <f aca="false">IFERROR(_xlfn.XLOOKUP(C10,EmployeeTable[Employee ID],EmployeeTable[Employee Name],"Not found"),IFERROR(INDEX(EmployeeTable[Employee Name],MATCH(C10,EmployeeTable[Employee ID],0)),"Not found"))</f>
        <v>Vivaan Joshi</v>
      </c>
      <c r="E10" s="14" t="s">
        <v>321</v>
      </c>
      <c r="F10" s="27" t="n">
        <v>46272.7291666667</v>
      </c>
      <c r="G10" s="27"/>
      <c r="H10" s="12" t="s">
        <v>322</v>
      </c>
      <c r="I10" s="28" t="str">
        <f aca="false">IF(G10="","",(G10-F10)*24)</f>
        <v/>
      </c>
      <c r="J10" s="60" t="str">
        <f aca="false">IF(H10="Completed",IF(I10&lt;=4,"Within SLA","Delayed"),"")</f>
        <v/>
      </c>
      <c r="L10" s="12" t="s">
        <v>323</v>
      </c>
      <c r="M10" s="12" t="s">
        <v>107</v>
      </c>
      <c r="N10" s="14" t="str">
        <f aca="false">IFERROR(_xlfn.XLOOKUP(M10,EmployeeTable[Employee ID],EmployeeTable[Employee Name],"Not found"),IFERROR(INDEX(EmployeeTable[Employee Name],MATCH(M10,EmployeeTable[Employee ID],0)),"Not found"))</f>
        <v>Kabir Patel</v>
      </c>
      <c r="O10" s="14" t="s">
        <v>324</v>
      </c>
      <c r="P10" s="26" t="n">
        <v>46275</v>
      </c>
      <c r="Q10" s="26" t="n">
        <v>46275</v>
      </c>
      <c r="R10" s="26" t="n">
        <v>46277</v>
      </c>
      <c r="S10" s="12" t="s">
        <v>44</v>
      </c>
      <c r="T10" s="29" t="str">
        <f aca="true">IF(S10="Completed",IF(R10&lt;=Q10,"On Time","Delayed"),IF(Q10&lt;TODAY(),"Overdue","Pending"))</f>
        <v>Delayed</v>
      </c>
      <c r="U10" s="13" t="n">
        <f aca="false">IF(S10="Completed",IF(R10&lt;=Q10,1,0),0)</f>
        <v>0</v>
      </c>
      <c r="W10" s="42" t="s">
        <v>325</v>
      </c>
      <c r="X10" s="45" t="n">
        <f aca="false">COUNTA(ChecklistTable[Task ID])</f>
        <v>70</v>
      </c>
    </row>
    <row r="11" customFormat="false" ht="15" hidden="false" customHeight="false" outlineLevel="0" collapsed="false">
      <c r="A11" s="15" t="s">
        <v>326</v>
      </c>
      <c r="B11" s="30" t="n">
        <v>46301</v>
      </c>
      <c r="C11" s="15" t="s">
        <v>101</v>
      </c>
      <c r="D11" s="17" t="str">
        <f aca="false">IFERROR(_xlfn.XLOOKUP(C11,EmployeeTable[Employee ID],EmployeeTable[Employee Name],"Not found"),IFERROR(INDEX(EmployeeTable[Employee Name],MATCH(C11,EmployeeTable[Employee ID],0)),"Not found"))</f>
        <v>Diya Verma</v>
      </c>
      <c r="E11" s="17" t="s">
        <v>296</v>
      </c>
      <c r="F11" s="31" t="n">
        <v>46301.7708333333</v>
      </c>
      <c r="G11" s="31" t="n">
        <v>46301.9791666667</v>
      </c>
      <c r="H11" s="15" t="s">
        <v>44</v>
      </c>
      <c r="I11" s="32" t="n">
        <f aca="false">IF(G11="","",(G11-F11)*24)</f>
        <v>4.99999999953434</v>
      </c>
      <c r="J11" s="57" t="str">
        <f aca="false">IF(H11="Completed",IF(I11&lt;=4,"Within SLA","Delayed"),"")</f>
        <v>Delayed</v>
      </c>
      <c r="L11" s="15" t="s">
        <v>327</v>
      </c>
      <c r="M11" s="15" t="s">
        <v>145</v>
      </c>
      <c r="N11" s="17" t="str">
        <f aca="false">IFERROR(_xlfn.XLOOKUP(M11,EmployeeTable[Employee ID],EmployeeTable[Employee Name],"Not found"),IFERROR(INDEX(EmployeeTable[Employee Name],MATCH(M11,EmployeeTable[Employee ID],0)),"Not found"))</f>
        <v>Ira Nair</v>
      </c>
      <c r="O11" s="17" t="s">
        <v>298</v>
      </c>
      <c r="P11" s="30" t="n">
        <v>46311</v>
      </c>
      <c r="Q11" s="30" t="n">
        <v>46315</v>
      </c>
      <c r="R11" s="30"/>
      <c r="S11" s="15" t="s">
        <v>21</v>
      </c>
      <c r="T11" s="33" t="str">
        <f aca="true">IF(S11="Completed",IF(R11&lt;=Q11,"On Time","Delayed"),IF(Q11&lt;TODAY(),"Overdue","Pending"))</f>
        <v>Pending</v>
      </c>
      <c r="U11" s="16" t="n">
        <f aca="false">IF(S11="Completed",IF(R11&lt;=Q11,1,0),0)</f>
        <v>0</v>
      </c>
    </row>
    <row r="12" customFormat="false" ht="15" hidden="false" customHeight="false" outlineLevel="0" collapsed="false">
      <c r="A12" s="12" t="s">
        <v>328</v>
      </c>
      <c r="B12" s="26" t="n">
        <v>46306</v>
      </c>
      <c r="C12" s="12" t="s">
        <v>117</v>
      </c>
      <c r="D12" s="14" t="str">
        <f aca="false">IFERROR(_xlfn.XLOOKUP(C12,EmployeeTable[Employee ID],EmployeeTable[Employee Name],"Not found"),IFERROR(INDEX(EmployeeTable[Employee Name],MATCH(C12,EmployeeTable[Employee ID],0)),"Not found"))</f>
        <v>Ishaan Gupta</v>
      </c>
      <c r="E12" s="14" t="s">
        <v>301</v>
      </c>
      <c r="F12" s="27" t="n">
        <v>46306.7708333333</v>
      </c>
      <c r="G12" s="27" t="n">
        <v>46307.3125</v>
      </c>
      <c r="H12" s="12" t="s">
        <v>44</v>
      </c>
      <c r="I12" s="28" t="n">
        <f aca="false">IF(G12="","",(G12-F12)*24)</f>
        <v>12.9999999997672</v>
      </c>
      <c r="J12" s="60" t="str">
        <f aca="false">IF(H12="Completed",IF(I12&lt;=4,"Within SLA","Delayed"),"")</f>
        <v>Delayed</v>
      </c>
      <c r="L12" s="12" t="s">
        <v>329</v>
      </c>
      <c r="M12" s="12" t="s">
        <v>129</v>
      </c>
      <c r="N12" s="14" t="str">
        <f aca="false">IFERROR(_xlfn.XLOOKUP(M12,EmployeeTable[Employee ID],EmployeeTable[Employee Name],"Not found"),IFERROR(INDEX(EmployeeTable[Employee Name],MATCH(M12,EmployeeTable[Employee ID],0)),"Not found"))</f>
        <v>Rohan Das</v>
      </c>
      <c r="O12" s="14" t="s">
        <v>303</v>
      </c>
      <c r="P12" s="26" t="n">
        <v>46290</v>
      </c>
      <c r="Q12" s="26" t="n">
        <v>46293</v>
      </c>
      <c r="R12" s="26" t="n">
        <v>46292</v>
      </c>
      <c r="S12" s="12" t="s">
        <v>44</v>
      </c>
      <c r="T12" s="29" t="str">
        <f aca="true">IF(S12="Completed",IF(R12&lt;=Q12,"On Time","Delayed"),IF(Q12&lt;TODAY(),"Overdue","Pending"))</f>
        <v>On Time</v>
      </c>
      <c r="U12" s="13" t="n">
        <f aca="false">IF(S12="Completed",IF(R12&lt;=Q12,1,0),0)</f>
        <v>1</v>
      </c>
    </row>
    <row r="13" customFormat="false" ht="15" hidden="false" customHeight="false" outlineLevel="0" collapsed="false">
      <c r="A13" s="15" t="s">
        <v>330</v>
      </c>
      <c r="B13" s="30" t="n">
        <v>46255</v>
      </c>
      <c r="C13" s="15" t="s">
        <v>135</v>
      </c>
      <c r="D13" s="17" t="str">
        <f aca="false">IFERROR(_xlfn.XLOOKUP(C13,EmployeeTable[Employee ID],EmployeeTable[Employee Name],"Not found"),IFERROR(INDEX(EmployeeTable[Employee Name],MATCH(C13,EmployeeTable[Employee ID],0)),"Not found"))</f>
        <v>Sana Khan</v>
      </c>
      <c r="E13" s="17" t="s">
        <v>306</v>
      </c>
      <c r="F13" s="31" t="n">
        <v>46255.375</v>
      </c>
      <c r="G13" s="31" t="n">
        <v>46255.7083333333</v>
      </c>
      <c r="H13" s="15" t="s">
        <v>44</v>
      </c>
      <c r="I13" s="32" t="n">
        <f aca="false">IF(G13="","",(G13-F13)*24)</f>
        <v>8.00000000023283</v>
      </c>
      <c r="J13" s="57" t="str">
        <f aca="false">IF(H13="Completed",IF(I13&lt;=4,"Within SLA","Delayed"),"")</f>
        <v>Delayed</v>
      </c>
      <c r="L13" s="15" t="s">
        <v>331</v>
      </c>
      <c r="M13" s="15" t="s">
        <v>112</v>
      </c>
      <c r="N13" s="17" t="str">
        <f aca="false">IFERROR(_xlfn.XLOOKUP(M13,EmployeeTable[Employee ID],EmployeeTable[Employee Name],"Not found"),IFERROR(INDEX(EmployeeTable[Employee Name],MATCH(M13,EmployeeTable[Employee ID],0)),"Not found"))</f>
        <v>Meera Singh</v>
      </c>
      <c r="O13" s="17" t="s">
        <v>308</v>
      </c>
      <c r="P13" s="30" t="n">
        <v>46273</v>
      </c>
      <c r="Q13" s="30" t="n">
        <v>46278</v>
      </c>
      <c r="R13" s="30" t="n">
        <v>46276</v>
      </c>
      <c r="S13" s="15" t="s">
        <v>44</v>
      </c>
      <c r="T13" s="33" t="str">
        <f aca="true">IF(S13="Completed",IF(R13&lt;=Q13,"On Time","Delayed"),IF(Q13&lt;TODAY(),"Overdue","Pending"))</f>
        <v>On Time</v>
      </c>
      <c r="U13" s="16" t="n">
        <f aca="false">IF(S13="Completed",IF(R13&lt;=Q13,1,0),0)</f>
        <v>1</v>
      </c>
    </row>
    <row r="14" customFormat="false" ht="15" hidden="false" customHeight="false" outlineLevel="0" collapsed="false">
      <c r="A14" s="12" t="s">
        <v>332</v>
      </c>
      <c r="B14" s="26" t="n">
        <v>46308</v>
      </c>
      <c r="C14" s="12" t="s">
        <v>95</v>
      </c>
      <c r="D14" s="14" t="str">
        <f aca="false">IFERROR(_xlfn.XLOOKUP(C14,EmployeeTable[Employee ID],EmployeeTable[Employee Name],"Not found"),IFERROR(INDEX(EmployeeTable[Employee Name],MATCH(C14,EmployeeTable[Employee ID],0)),"Not found"))</f>
        <v>Aarav Sharma</v>
      </c>
      <c r="E14" s="14" t="s">
        <v>311</v>
      </c>
      <c r="F14" s="27" t="n">
        <v>46308.3854166667</v>
      </c>
      <c r="G14" s="27" t="n">
        <v>46308.46875</v>
      </c>
      <c r="H14" s="12" t="s">
        <v>44</v>
      </c>
      <c r="I14" s="28" t="n">
        <f aca="false">IF(G14="","",(G14-F14)*24)</f>
        <v>2.00000000023283</v>
      </c>
      <c r="J14" s="60" t="str">
        <f aca="false">IF(H14="Completed",IF(I14&lt;=4,"Within SLA","Delayed"),"")</f>
        <v>Within SLA</v>
      </c>
      <c r="L14" s="12" t="s">
        <v>333</v>
      </c>
      <c r="M14" s="12" t="s">
        <v>95</v>
      </c>
      <c r="N14" s="14" t="str">
        <f aca="false">IFERROR(_xlfn.XLOOKUP(M14,EmployeeTable[Employee ID],EmployeeTable[Employee Name],"Not found"),IFERROR(INDEX(EmployeeTable[Employee Name],MATCH(M14,EmployeeTable[Employee ID],0)),"Not found"))</f>
        <v>Aarav Sharma</v>
      </c>
      <c r="O14" s="14" t="s">
        <v>313</v>
      </c>
      <c r="P14" s="26" t="n">
        <v>46287</v>
      </c>
      <c r="Q14" s="26" t="n">
        <v>46288</v>
      </c>
      <c r="R14" s="26" t="n">
        <v>46290</v>
      </c>
      <c r="S14" s="12" t="s">
        <v>44</v>
      </c>
      <c r="T14" s="29" t="str">
        <f aca="true">IF(S14="Completed",IF(R14&lt;=Q14,"On Time","Delayed"),IF(Q14&lt;TODAY(),"Overdue","Pending"))</f>
        <v>Delayed</v>
      </c>
      <c r="U14" s="13" t="n">
        <f aca="false">IF(S14="Completed",IF(R14&lt;=Q14,1,0),0)</f>
        <v>0</v>
      </c>
    </row>
    <row r="15" customFormat="false" ht="15" hidden="false" customHeight="false" outlineLevel="0" collapsed="false">
      <c r="A15" s="15" t="s">
        <v>334</v>
      </c>
      <c r="B15" s="30" t="n">
        <v>46255</v>
      </c>
      <c r="C15" s="15" t="s">
        <v>112</v>
      </c>
      <c r="D15" s="17" t="str">
        <f aca="false">IFERROR(_xlfn.XLOOKUP(C15,EmployeeTable[Employee ID],EmployeeTable[Employee Name],"Not found"),IFERROR(INDEX(EmployeeTable[Employee Name],MATCH(C15,EmployeeTable[Employee ID],0)),"Not found"))</f>
        <v>Meera Singh</v>
      </c>
      <c r="E15" s="17" t="s">
        <v>316</v>
      </c>
      <c r="F15" s="31" t="n">
        <v>46255.5416666667</v>
      </c>
      <c r="G15" s="31"/>
      <c r="H15" s="15" t="s">
        <v>322</v>
      </c>
      <c r="I15" s="32" t="str">
        <f aca="false">IF(G15="","",(G15-F15)*24)</f>
        <v/>
      </c>
      <c r="J15" s="57" t="str">
        <f aca="false">IF(H15="Completed",IF(I15&lt;=4,"Within SLA","Delayed"),"")</f>
        <v/>
      </c>
      <c r="L15" s="15" t="s">
        <v>335</v>
      </c>
      <c r="M15" s="15" t="s">
        <v>135</v>
      </c>
      <c r="N15" s="17" t="str">
        <f aca="false">IFERROR(_xlfn.XLOOKUP(M15,EmployeeTable[Employee ID],EmployeeTable[Employee Name],"Not found"),IFERROR(INDEX(EmployeeTable[Employee Name],MATCH(M15,EmployeeTable[Employee ID],0)),"Not found"))</f>
        <v>Sana Khan</v>
      </c>
      <c r="O15" s="17" t="s">
        <v>318</v>
      </c>
      <c r="P15" s="30" t="n">
        <v>46281</v>
      </c>
      <c r="Q15" s="30" t="n">
        <v>46284</v>
      </c>
      <c r="R15" s="30" t="n">
        <v>46283</v>
      </c>
      <c r="S15" s="15" t="s">
        <v>44</v>
      </c>
      <c r="T15" s="33" t="str">
        <f aca="true">IF(S15="Completed",IF(R15&lt;=Q15,"On Time","Delayed"),IF(Q15&lt;TODAY(),"Overdue","Pending"))</f>
        <v>On Time</v>
      </c>
      <c r="U15" s="16" t="n">
        <f aca="false">IF(S15="Completed",IF(R15&lt;=Q15,1,0),0)</f>
        <v>1</v>
      </c>
    </row>
    <row r="16" customFormat="false" ht="15" hidden="false" customHeight="false" outlineLevel="0" collapsed="false">
      <c r="A16" s="12" t="s">
        <v>336</v>
      </c>
      <c r="B16" s="26" t="n">
        <v>46291</v>
      </c>
      <c r="C16" s="12" t="s">
        <v>129</v>
      </c>
      <c r="D16" s="14" t="str">
        <f aca="false">IFERROR(_xlfn.XLOOKUP(C16,EmployeeTable[Employee ID],EmployeeTable[Employee Name],"Not found"),IFERROR(INDEX(EmployeeTable[Employee Name],MATCH(C16,EmployeeTable[Employee ID],0)),"Not found"))</f>
        <v>Rohan Das</v>
      </c>
      <c r="E16" s="14" t="s">
        <v>321</v>
      </c>
      <c r="F16" s="27" t="n">
        <v>46291.5104166667</v>
      </c>
      <c r="G16" s="27" t="n">
        <v>46291.84375</v>
      </c>
      <c r="H16" s="12" t="s">
        <v>44</v>
      </c>
      <c r="I16" s="28" t="n">
        <f aca="false">IF(G16="","",(G16-F16)*24)</f>
        <v>8.00000000023283</v>
      </c>
      <c r="J16" s="60" t="str">
        <f aca="false">IF(H16="Completed",IF(I16&lt;=4,"Within SLA","Delayed"),"")</f>
        <v>Delayed</v>
      </c>
      <c r="L16" s="12" t="s">
        <v>337</v>
      </c>
      <c r="M16" s="12" t="s">
        <v>117</v>
      </c>
      <c r="N16" s="14" t="str">
        <f aca="false">IFERROR(_xlfn.XLOOKUP(M16,EmployeeTable[Employee ID],EmployeeTable[Employee Name],"Not found"),IFERROR(INDEX(EmployeeTable[Employee Name],MATCH(M16,EmployeeTable[Employee ID],0)),"Not found"))</f>
        <v>Ishaan Gupta</v>
      </c>
      <c r="O16" s="14" t="s">
        <v>324</v>
      </c>
      <c r="P16" s="26" t="n">
        <v>46307</v>
      </c>
      <c r="Q16" s="26" t="n">
        <v>46310</v>
      </c>
      <c r="R16" s="26" t="n">
        <v>46310</v>
      </c>
      <c r="S16" s="12" t="s">
        <v>44</v>
      </c>
      <c r="T16" s="29" t="str">
        <f aca="true">IF(S16="Completed",IF(R16&lt;=Q16,"On Time","Delayed"),IF(Q16&lt;TODAY(),"Overdue","Pending"))</f>
        <v>On Time</v>
      </c>
      <c r="U16" s="13" t="n">
        <f aca="false">IF(S16="Completed",IF(R16&lt;=Q16,1,0),0)</f>
        <v>1</v>
      </c>
    </row>
    <row r="17" customFormat="false" ht="15" hidden="false" customHeight="false" outlineLevel="0" collapsed="false">
      <c r="A17" s="15" t="s">
        <v>338</v>
      </c>
      <c r="B17" s="30" t="n">
        <v>46269</v>
      </c>
      <c r="C17" s="15" t="s">
        <v>145</v>
      </c>
      <c r="D17" s="17" t="str">
        <f aca="false">IFERROR(_xlfn.XLOOKUP(C17,EmployeeTable[Employee ID],EmployeeTable[Employee Name],"Not found"),IFERROR(INDEX(EmployeeTable[Employee Name],MATCH(C17,EmployeeTable[Employee ID],0)),"Not found"))</f>
        <v>Ira Nair</v>
      </c>
      <c r="E17" s="17" t="s">
        <v>296</v>
      </c>
      <c r="F17" s="31" t="n">
        <v>46269.5</v>
      </c>
      <c r="G17" s="31"/>
      <c r="H17" s="15" t="s">
        <v>21</v>
      </c>
      <c r="I17" s="32" t="str">
        <f aca="false">IF(G17="","",(G17-F17)*24)</f>
        <v/>
      </c>
      <c r="J17" s="57" t="str">
        <f aca="false">IF(H17="Completed",IF(I17&lt;=4,"Within SLA","Delayed"),"")</f>
        <v/>
      </c>
      <c r="L17" s="15" t="s">
        <v>339</v>
      </c>
      <c r="M17" s="15" t="s">
        <v>101</v>
      </c>
      <c r="N17" s="17" t="str">
        <f aca="false">IFERROR(_xlfn.XLOOKUP(M17,EmployeeTable[Employee ID],EmployeeTable[Employee Name],"Not found"),IFERROR(INDEX(EmployeeTable[Employee Name],MATCH(M17,EmployeeTable[Employee ID],0)),"Not found"))</f>
        <v>Diya Verma</v>
      </c>
      <c r="O17" s="17" t="s">
        <v>298</v>
      </c>
      <c r="P17" s="30" t="n">
        <v>46311</v>
      </c>
      <c r="Q17" s="30" t="n">
        <v>46316</v>
      </c>
      <c r="R17" s="30"/>
      <c r="S17" s="15" t="s">
        <v>322</v>
      </c>
      <c r="T17" s="33" t="str">
        <f aca="true">IF(S17="Completed",IF(R17&lt;=Q17,"On Time","Delayed"),IF(Q17&lt;TODAY(),"Overdue","Pending"))</f>
        <v>Pending</v>
      </c>
      <c r="U17" s="16" t="n">
        <f aca="false">IF(S17="Completed",IF(R17&lt;=Q17,1,0),0)</f>
        <v>0</v>
      </c>
    </row>
    <row r="18" customFormat="false" ht="15" hidden="false" customHeight="false" outlineLevel="0" collapsed="false">
      <c r="A18" s="12" t="s">
        <v>340</v>
      </c>
      <c r="B18" s="26" t="n">
        <v>46279</v>
      </c>
      <c r="C18" s="12" t="s">
        <v>107</v>
      </c>
      <c r="D18" s="14" t="str">
        <f aca="false">IFERROR(_xlfn.XLOOKUP(C18,EmployeeTable[Employee ID],EmployeeTable[Employee Name],"Not found"),IFERROR(INDEX(EmployeeTable[Employee Name],MATCH(C18,EmployeeTable[Employee ID],0)),"Not found"))</f>
        <v>Kabir Patel</v>
      </c>
      <c r="E18" s="14" t="s">
        <v>301</v>
      </c>
      <c r="F18" s="27" t="n">
        <v>46279.5</v>
      </c>
      <c r="G18" s="27"/>
      <c r="H18" s="12" t="s">
        <v>322</v>
      </c>
      <c r="I18" s="28" t="str">
        <f aca="false">IF(G18="","",(G18-F18)*24)</f>
        <v/>
      </c>
      <c r="J18" s="60" t="str">
        <f aca="false">IF(H18="Completed",IF(I18&lt;=4,"Within SLA","Delayed"),"")</f>
        <v/>
      </c>
      <c r="L18" s="12" t="s">
        <v>341</v>
      </c>
      <c r="M18" s="12" t="s">
        <v>140</v>
      </c>
      <c r="N18" s="14" t="str">
        <f aca="false">IFERROR(_xlfn.XLOOKUP(M18,EmployeeTable[Employee ID],EmployeeTable[Employee Name],"Not found"),IFERROR(INDEX(EmployeeTable[Employee Name],MATCH(M18,EmployeeTable[Employee ID],0)),"Not found"))</f>
        <v>Vivaan Joshi</v>
      </c>
      <c r="O18" s="14" t="s">
        <v>303</v>
      </c>
      <c r="P18" s="26" t="n">
        <v>46312</v>
      </c>
      <c r="Q18" s="26" t="n">
        <v>46317</v>
      </c>
      <c r="R18" s="26"/>
      <c r="S18" s="12" t="s">
        <v>322</v>
      </c>
      <c r="T18" s="29" t="str">
        <f aca="true">IF(S18="Completed",IF(R18&lt;=Q18,"On Time","Delayed"),IF(Q18&lt;TODAY(),"Overdue","Pending"))</f>
        <v>Pending</v>
      </c>
      <c r="U18" s="13" t="n">
        <f aca="false">IF(S18="Completed",IF(R18&lt;=Q18,1,0),0)</f>
        <v>0</v>
      </c>
    </row>
    <row r="19" customFormat="false" ht="15" hidden="false" customHeight="false" outlineLevel="0" collapsed="false">
      <c r="A19" s="15" t="s">
        <v>342</v>
      </c>
      <c r="B19" s="30" t="n">
        <v>46306</v>
      </c>
      <c r="C19" s="15" t="s">
        <v>123</v>
      </c>
      <c r="D19" s="17" t="str">
        <f aca="false">IFERROR(_xlfn.XLOOKUP(C19,EmployeeTable[Employee ID],EmployeeTable[Employee Name],"Not found"),IFERROR(INDEX(EmployeeTable[Employee Name],MATCH(C19,EmployeeTable[Employee ID],0)),"Not found"))</f>
        <v>Ananya Rao</v>
      </c>
      <c r="E19" s="17" t="s">
        <v>306</v>
      </c>
      <c r="F19" s="31" t="n">
        <v>46306.5</v>
      </c>
      <c r="G19" s="31"/>
      <c r="H19" s="15" t="s">
        <v>322</v>
      </c>
      <c r="I19" s="32" t="str">
        <f aca="false">IF(G19="","",(G19-F19)*24)</f>
        <v/>
      </c>
      <c r="J19" s="57" t="str">
        <f aca="false">IF(H19="Completed",IF(I19&lt;=4,"Within SLA","Delayed"),"")</f>
        <v/>
      </c>
      <c r="L19" s="15" t="s">
        <v>343</v>
      </c>
      <c r="M19" s="15" t="s">
        <v>123</v>
      </c>
      <c r="N19" s="17" t="str">
        <f aca="false">IFERROR(_xlfn.XLOOKUP(M19,EmployeeTable[Employee ID],EmployeeTable[Employee Name],"Not found"),IFERROR(INDEX(EmployeeTable[Employee Name],MATCH(M19,EmployeeTable[Employee ID],0)),"Not found"))</f>
        <v>Ananya Rao</v>
      </c>
      <c r="O19" s="17" t="s">
        <v>308</v>
      </c>
      <c r="P19" s="30" t="n">
        <v>46312</v>
      </c>
      <c r="Q19" s="30" t="n">
        <v>46315</v>
      </c>
      <c r="R19" s="30"/>
      <c r="S19" s="15" t="s">
        <v>21</v>
      </c>
      <c r="T19" s="33" t="str">
        <f aca="true">IF(S19="Completed",IF(R19&lt;=Q19,"On Time","Delayed"),IF(Q19&lt;TODAY(),"Overdue","Pending"))</f>
        <v>Pending</v>
      </c>
      <c r="U19" s="16" t="n">
        <f aca="false">IF(S19="Completed",IF(R19&lt;=Q19,1,0),0)</f>
        <v>0</v>
      </c>
    </row>
    <row r="20" customFormat="false" ht="15" hidden="false" customHeight="false" outlineLevel="0" collapsed="false">
      <c r="A20" s="12" t="s">
        <v>344</v>
      </c>
      <c r="B20" s="26" t="n">
        <v>46267</v>
      </c>
      <c r="C20" s="12" t="s">
        <v>140</v>
      </c>
      <c r="D20" s="14" t="str">
        <f aca="false">IFERROR(_xlfn.XLOOKUP(C20,EmployeeTable[Employee ID],EmployeeTable[Employee Name],"Not found"),IFERROR(INDEX(EmployeeTable[Employee Name],MATCH(C20,EmployeeTable[Employee ID],0)),"Not found"))</f>
        <v>Vivaan Joshi</v>
      </c>
      <c r="E20" s="14" t="s">
        <v>311</v>
      </c>
      <c r="F20" s="27" t="n">
        <v>46267.6770833333</v>
      </c>
      <c r="G20" s="27" t="n">
        <v>46268.0104166667</v>
      </c>
      <c r="H20" s="12" t="s">
        <v>44</v>
      </c>
      <c r="I20" s="28" t="n">
        <f aca="false">IF(G20="","",(G20-F20)*24)</f>
        <v>7.99999999953434</v>
      </c>
      <c r="J20" s="60" t="str">
        <f aca="false">IF(H20="Completed",IF(I20&lt;=4,"Within SLA","Delayed"),"")</f>
        <v>Delayed</v>
      </c>
      <c r="L20" s="12" t="s">
        <v>345</v>
      </c>
      <c r="M20" s="12" t="s">
        <v>107</v>
      </c>
      <c r="N20" s="14" t="str">
        <f aca="false">IFERROR(_xlfn.XLOOKUP(M20,EmployeeTable[Employee ID],EmployeeTable[Employee Name],"Not found"),IFERROR(INDEX(EmployeeTable[Employee Name],MATCH(M20,EmployeeTable[Employee ID],0)),"Not found"))</f>
        <v>Kabir Patel</v>
      </c>
      <c r="O20" s="14" t="s">
        <v>313</v>
      </c>
      <c r="P20" s="26" t="n">
        <v>46313</v>
      </c>
      <c r="Q20" s="26" t="n">
        <v>46318</v>
      </c>
      <c r="R20" s="26"/>
      <c r="S20" s="12" t="s">
        <v>21</v>
      </c>
      <c r="T20" s="29" t="str">
        <f aca="true">IF(S20="Completed",IF(R20&lt;=Q20,"On Time","Delayed"),IF(Q20&lt;TODAY(),"Overdue","Pending"))</f>
        <v>Pending</v>
      </c>
      <c r="U20" s="13" t="n">
        <f aca="false">IF(S20="Completed",IF(R20&lt;=Q20,1,0),0)</f>
        <v>0</v>
      </c>
    </row>
    <row r="21" customFormat="false" ht="15" hidden="false" customHeight="false" outlineLevel="0" collapsed="false">
      <c r="A21" s="15" t="s">
        <v>346</v>
      </c>
      <c r="B21" s="30" t="n">
        <v>46301</v>
      </c>
      <c r="C21" s="15" t="s">
        <v>101</v>
      </c>
      <c r="D21" s="17" t="str">
        <f aca="false">IFERROR(_xlfn.XLOOKUP(C21,EmployeeTable[Employee ID],EmployeeTable[Employee Name],"Not found"),IFERROR(INDEX(EmployeeTable[Employee Name],MATCH(C21,EmployeeTable[Employee ID],0)),"Not found"))</f>
        <v>Diya Verma</v>
      </c>
      <c r="E21" s="17" t="s">
        <v>316</v>
      </c>
      <c r="F21" s="31" t="n">
        <v>46301.8125</v>
      </c>
      <c r="G21" s="31" t="n">
        <v>46302.2291666667</v>
      </c>
      <c r="H21" s="15" t="s">
        <v>44</v>
      </c>
      <c r="I21" s="32" t="n">
        <f aca="false">IF(G21="","",(G21-F21)*24)</f>
        <v>9.99999999976717</v>
      </c>
      <c r="J21" s="57" t="str">
        <f aca="false">IF(H21="Completed",IF(I21&lt;=4,"Within SLA","Delayed"),"")</f>
        <v>Delayed</v>
      </c>
      <c r="L21" s="15" t="s">
        <v>347</v>
      </c>
      <c r="M21" s="15" t="s">
        <v>145</v>
      </c>
      <c r="N21" s="17" t="str">
        <f aca="false">IFERROR(_xlfn.XLOOKUP(M21,EmployeeTable[Employee ID],EmployeeTable[Employee Name],"Not found"),IFERROR(INDEX(EmployeeTable[Employee Name],MATCH(M21,EmployeeTable[Employee ID],0)),"Not found"))</f>
        <v>Ira Nair</v>
      </c>
      <c r="O21" s="17" t="s">
        <v>318</v>
      </c>
      <c r="P21" s="30" t="n">
        <v>46313</v>
      </c>
      <c r="Q21" s="30" t="n">
        <v>46316</v>
      </c>
      <c r="R21" s="30"/>
      <c r="S21" s="15" t="s">
        <v>322</v>
      </c>
      <c r="T21" s="33" t="str">
        <f aca="true">IF(S21="Completed",IF(R21&lt;=Q21,"On Time","Delayed"),IF(Q21&lt;TODAY(),"Overdue","Pending"))</f>
        <v>Pending</v>
      </c>
      <c r="U21" s="16" t="n">
        <f aca="false">IF(S21="Completed",IF(R21&lt;=Q21,1,0),0)</f>
        <v>0</v>
      </c>
    </row>
    <row r="22" customFormat="false" ht="15" hidden="false" customHeight="false" outlineLevel="0" collapsed="false">
      <c r="A22" s="12" t="s">
        <v>348</v>
      </c>
      <c r="B22" s="26" t="n">
        <v>46260</v>
      </c>
      <c r="C22" s="12" t="s">
        <v>117</v>
      </c>
      <c r="D22" s="14" t="str">
        <f aca="false">IFERROR(_xlfn.XLOOKUP(C22,EmployeeTable[Employee ID],EmployeeTable[Employee Name],"Not found"),IFERROR(INDEX(EmployeeTable[Employee Name],MATCH(C22,EmployeeTable[Employee ID],0)),"Not found"))</f>
        <v>Ishaan Gupta</v>
      </c>
      <c r="E22" s="14" t="s">
        <v>321</v>
      </c>
      <c r="F22" s="27" t="n">
        <v>46260.53125</v>
      </c>
      <c r="G22" s="27" t="n">
        <v>46261.0729166667</v>
      </c>
      <c r="H22" s="12" t="s">
        <v>44</v>
      </c>
      <c r="I22" s="28" t="n">
        <f aca="false">IF(G22="","",(G22-F22)*24)</f>
        <v>12.9999999997672</v>
      </c>
      <c r="J22" s="60" t="str">
        <f aca="false">IF(H22="Completed",IF(I22&lt;=4,"Within SLA","Delayed"),"")</f>
        <v>Delayed</v>
      </c>
      <c r="L22" s="12" t="s">
        <v>349</v>
      </c>
      <c r="M22" s="12" t="s">
        <v>129</v>
      </c>
      <c r="N22" s="14" t="str">
        <f aca="false">IFERROR(_xlfn.XLOOKUP(M22,EmployeeTable[Employee ID],EmployeeTable[Employee Name],"Not found"),IFERROR(INDEX(EmployeeTable[Employee Name],MATCH(M22,EmployeeTable[Employee ID],0)),"Not found"))</f>
        <v>Rohan Das</v>
      </c>
      <c r="O22" s="14" t="s">
        <v>324</v>
      </c>
      <c r="P22" s="26" t="n">
        <v>46284</v>
      </c>
      <c r="Q22" s="26" t="n">
        <v>46287</v>
      </c>
      <c r="R22" s="26" t="n">
        <v>46286</v>
      </c>
      <c r="S22" s="12" t="s">
        <v>44</v>
      </c>
      <c r="T22" s="29" t="str">
        <f aca="true">IF(S22="Completed",IF(R22&lt;=Q22,"On Time","Delayed"),IF(Q22&lt;TODAY(),"Overdue","Pending"))</f>
        <v>On Time</v>
      </c>
      <c r="U22" s="13" t="n">
        <f aca="false">IF(S22="Completed",IF(R22&lt;=Q22,1,0),0)</f>
        <v>1</v>
      </c>
    </row>
    <row r="23" customFormat="false" ht="15" hidden="false" customHeight="false" outlineLevel="0" collapsed="false">
      <c r="A23" s="15" t="s">
        <v>350</v>
      </c>
      <c r="B23" s="30" t="n">
        <v>46311</v>
      </c>
      <c r="C23" s="15" t="s">
        <v>135</v>
      </c>
      <c r="D23" s="17" t="str">
        <f aca="false">IFERROR(_xlfn.XLOOKUP(C23,EmployeeTable[Employee ID],EmployeeTable[Employee Name],"Not found"),IFERROR(INDEX(EmployeeTable[Employee Name],MATCH(C23,EmployeeTable[Employee ID],0)),"Not found"))</f>
        <v>Sana Khan</v>
      </c>
      <c r="E23" s="17" t="s">
        <v>296</v>
      </c>
      <c r="F23" s="31" t="n">
        <v>46311.40625</v>
      </c>
      <c r="G23" s="31"/>
      <c r="H23" s="15" t="s">
        <v>322</v>
      </c>
      <c r="I23" s="32" t="str">
        <f aca="false">IF(G23="","",(G23-F23)*24)</f>
        <v/>
      </c>
      <c r="J23" s="57" t="str">
        <f aca="false">IF(H23="Completed",IF(I23&lt;=4,"Within SLA","Delayed"),"")</f>
        <v/>
      </c>
      <c r="L23" s="15" t="s">
        <v>351</v>
      </c>
      <c r="M23" s="15" t="s">
        <v>112</v>
      </c>
      <c r="N23" s="17" t="str">
        <f aca="false">IFERROR(_xlfn.XLOOKUP(M23,EmployeeTable[Employee ID],EmployeeTable[Employee Name],"Not found"),IFERROR(INDEX(EmployeeTable[Employee Name],MATCH(M23,EmployeeTable[Employee ID],0)),"Not found"))</f>
        <v>Meera Singh</v>
      </c>
      <c r="O23" s="17" t="s">
        <v>298</v>
      </c>
      <c r="P23" s="30" t="n">
        <v>46310</v>
      </c>
      <c r="Q23" s="30" t="n">
        <v>46317</v>
      </c>
      <c r="R23" s="30"/>
      <c r="S23" s="15" t="s">
        <v>21</v>
      </c>
      <c r="T23" s="33" t="str">
        <f aca="true">IF(S23="Completed",IF(R23&lt;=Q23,"On Time","Delayed"),IF(Q23&lt;TODAY(),"Overdue","Pending"))</f>
        <v>Pending</v>
      </c>
      <c r="U23" s="16" t="n">
        <f aca="false">IF(S23="Completed",IF(R23&lt;=Q23,1,0),0)</f>
        <v>0</v>
      </c>
    </row>
    <row r="24" customFormat="false" ht="15" hidden="false" customHeight="false" outlineLevel="0" collapsed="false">
      <c r="A24" s="12" t="s">
        <v>352</v>
      </c>
      <c r="B24" s="26" t="n">
        <v>46312</v>
      </c>
      <c r="C24" s="12" t="s">
        <v>95</v>
      </c>
      <c r="D24" s="14" t="str">
        <f aca="false">IFERROR(_xlfn.XLOOKUP(C24,EmployeeTable[Employee ID],EmployeeTable[Employee Name],"Not found"),IFERROR(INDEX(EmployeeTable[Employee Name],MATCH(C24,EmployeeTable[Employee ID],0)),"Not found"))</f>
        <v>Aarav Sharma</v>
      </c>
      <c r="E24" s="14" t="s">
        <v>301</v>
      </c>
      <c r="F24" s="27" t="n">
        <v>46312.3541666667</v>
      </c>
      <c r="G24" s="27"/>
      <c r="H24" s="12" t="s">
        <v>21</v>
      </c>
      <c r="I24" s="28" t="str">
        <f aca="false">IF(G24="","",(G24-F24)*24)</f>
        <v/>
      </c>
      <c r="J24" s="60" t="str">
        <f aca="false">IF(H24="Completed",IF(I24&lt;=4,"Within SLA","Delayed"),"")</f>
        <v/>
      </c>
      <c r="L24" s="12" t="s">
        <v>353</v>
      </c>
      <c r="M24" s="12" t="s">
        <v>95</v>
      </c>
      <c r="N24" s="14" t="str">
        <f aca="false">IFERROR(_xlfn.XLOOKUP(M24,EmployeeTable[Employee ID],EmployeeTable[Employee Name],"Not found"),IFERROR(INDEX(EmployeeTable[Employee Name],MATCH(M24,EmployeeTable[Employee ID],0)),"Not found"))</f>
        <v>Aarav Sharma</v>
      </c>
      <c r="O24" s="14" t="s">
        <v>303</v>
      </c>
      <c r="P24" s="26" t="n">
        <v>46281</v>
      </c>
      <c r="Q24" s="26" t="n">
        <v>46284</v>
      </c>
      <c r="R24" s="26" t="n">
        <v>46284</v>
      </c>
      <c r="S24" s="12" t="s">
        <v>44</v>
      </c>
      <c r="T24" s="29" t="str">
        <f aca="true">IF(S24="Completed",IF(R24&lt;=Q24,"On Time","Delayed"),IF(Q24&lt;TODAY(),"Overdue","Pending"))</f>
        <v>On Time</v>
      </c>
      <c r="U24" s="13" t="n">
        <f aca="false">IF(S24="Completed",IF(R24&lt;=Q24,1,0),0)</f>
        <v>1</v>
      </c>
    </row>
    <row r="25" customFormat="false" ht="15" hidden="false" customHeight="false" outlineLevel="0" collapsed="false">
      <c r="A25" s="15" t="s">
        <v>354</v>
      </c>
      <c r="B25" s="30" t="n">
        <v>46274</v>
      </c>
      <c r="C25" s="15" t="s">
        <v>112</v>
      </c>
      <c r="D25" s="17" t="str">
        <f aca="false">IFERROR(_xlfn.XLOOKUP(C25,EmployeeTable[Employee ID],EmployeeTable[Employee Name],"Not found"),IFERROR(INDEX(EmployeeTable[Employee Name],MATCH(C25,EmployeeTable[Employee ID],0)),"Not found"))</f>
        <v>Meera Singh</v>
      </c>
      <c r="E25" s="17" t="s">
        <v>306</v>
      </c>
      <c r="F25" s="31" t="n">
        <v>46274.5104166667</v>
      </c>
      <c r="G25" s="31"/>
      <c r="H25" s="15" t="s">
        <v>21</v>
      </c>
      <c r="I25" s="32" t="str">
        <f aca="false">IF(G25="","",(G25-F25)*24)</f>
        <v/>
      </c>
      <c r="J25" s="57" t="str">
        <f aca="false">IF(H25="Completed",IF(I25&lt;=4,"Within SLA","Delayed"),"")</f>
        <v/>
      </c>
      <c r="L25" s="15" t="s">
        <v>355</v>
      </c>
      <c r="M25" s="15" t="s">
        <v>135</v>
      </c>
      <c r="N25" s="17" t="str">
        <f aca="false">IFERROR(_xlfn.XLOOKUP(M25,EmployeeTable[Employee ID],EmployeeTable[Employee Name],"Not found"),IFERROR(INDEX(EmployeeTable[Employee Name],MATCH(M25,EmployeeTable[Employee ID],0)),"Not found"))</f>
        <v>Sana Khan</v>
      </c>
      <c r="O25" s="17" t="s">
        <v>308</v>
      </c>
      <c r="P25" s="30" t="n">
        <v>46311</v>
      </c>
      <c r="Q25" s="30" t="n">
        <v>46319</v>
      </c>
      <c r="R25" s="30"/>
      <c r="S25" s="15" t="s">
        <v>21</v>
      </c>
      <c r="T25" s="33" t="str">
        <f aca="true">IF(S25="Completed",IF(R25&lt;=Q25,"On Time","Delayed"),IF(Q25&lt;TODAY(),"Overdue","Pending"))</f>
        <v>Pending</v>
      </c>
      <c r="U25" s="16" t="n">
        <f aca="false">IF(S25="Completed",IF(R25&lt;=Q25,1,0),0)</f>
        <v>0</v>
      </c>
    </row>
    <row r="26" customFormat="false" ht="15" hidden="false" customHeight="false" outlineLevel="0" collapsed="false">
      <c r="A26" s="12" t="s">
        <v>356</v>
      </c>
      <c r="B26" s="26" t="n">
        <v>46279</v>
      </c>
      <c r="C26" s="12" t="s">
        <v>129</v>
      </c>
      <c r="D26" s="14" t="str">
        <f aca="false">IFERROR(_xlfn.XLOOKUP(C26,EmployeeTable[Employee ID],EmployeeTable[Employee Name],"Not found"),IFERROR(INDEX(EmployeeTable[Employee Name],MATCH(C26,EmployeeTable[Employee ID],0)),"Not found"))</f>
        <v>Rohan Das</v>
      </c>
      <c r="E26" s="14" t="s">
        <v>311</v>
      </c>
      <c r="F26" s="27" t="n">
        <v>46279.8229166667</v>
      </c>
      <c r="G26" s="27" t="n">
        <v>46279.875</v>
      </c>
      <c r="H26" s="12" t="s">
        <v>44</v>
      </c>
      <c r="I26" s="28" t="n">
        <f aca="false">IF(G26="","",(G26-F26)*24)</f>
        <v>1.25000000023283</v>
      </c>
      <c r="J26" s="60" t="str">
        <f aca="false">IF(H26="Completed",IF(I26&lt;=4,"Within SLA","Delayed"),"")</f>
        <v>Within SLA</v>
      </c>
      <c r="L26" s="12" t="s">
        <v>357</v>
      </c>
      <c r="M26" s="12" t="s">
        <v>117</v>
      </c>
      <c r="N26" s="14" t="str">
        <f aca="false">IFERROR(_xlfn.XLOOKUP(M26,EmployeeTable[Employee ID],EmployeeTable[Employee Name],"Not found"),IFERROR(INDEX(EmployeeTable[Employee Name],MATCH(M26,EmployeeTable[Employee ID],0)),"Not found"))</f>
        <v>Ishaan Gupta</v>
      </c>
      <c r="O26" s="14" t="s">
        <v>313</v>
      </c>
      <c r="P26" s="26" t="n">
        <v>46299</v>
      </c>
      <c r="Q26" s="26" t="n">
        <v>46301</v>
      </c>
      <c r="R26" s="26" t="n">
        <v>46302</v>
      </c>
      <c r="S26" s="12" t="s">
        <v>44</v>
      </c>
      <c r="T26" s="29" t="str">
        <f aca="true">IF(S26="Completed",IF(R26&lt;=Q26,"On Time","Delayed"),IF(Q26&lt;TODAY(),"Overdue","Pending"))</f>
        <v>Delayed</v>
      </c>
      <c r="U26" s="13" t="n">
        <f aca="false">IF(S26="Completed",IF(R26&lt;=Q26,1,0),0)</f>
        <v>0</v>
      </c>
    </row>
    <row r="27" customFormat="false" ht="15" hidden="false" customHeight="false" outlineLevel="0" collapsed="false">
      <c r="A27" s="15" t="s">
        <v>358</v>
      </c>
      <c r="B27" s="30" t="n">
        <v>46310</v>
      </c>
      <c r="C27" s="15" t="s">
        <v>145</v>
      </c>
      <c r="D27" s="17" t="str">
        <f aca="false">IFERROR(_xlfn.XLOOKUP(C27,EmployeeTable[Employee ID],EmployeeTable[Employee Name],"Not found"),IFERROR(INDEX(EmployeeTable[Employee Name],MATCH(C27,EmployeeTable[Employee ID],0)),"Not found"))</f>
        <v>Ira Nair</v>
      </c>
      <c r="E27" s="17" t="s">
        <v>316</v>
      </c>
      <c r="F27" s="31" t="n">
        <v>46310.9270833333</v>
      </c>
      <c r="G27" s="31" t="n">
        <v>46311.46875</v>
      </c>
      <c r="H27" s="15" t="s">
        <v>44</v>
      </c>
      <c r="I27" s="32" t="n">
        <f aca="false">IF(G27="","",(G27-F27)*24)</f>
        <v>12.9999999997672</v>
      </c>
      <c r="J27" s="57" t="str">
        <f aca="false">IF(H27="Completed",IF(I27&lt;=4,"Within SLA","Delayed"),"")</f>
        <v>Delayed</v>
      </c>
      <c r="L27" s="15" t="s">
        <v>359</v>
      </c>
      <c r="M27" s="15" t="s">
        <v>101</v>
      </c>
      <c r="N27" s="17" t="str">
        <f aca="false">IFERROR(_xlfn.XLOOKUP(M27,EmployeeTable[Employee ID],EmployeeTable[Employee Name],"Not found"),IFERROR(INDEX(EmployeeTable[Employee Name],MATCH(M27,EmployeeTable[Employee ID],0)),"Not found"))</f>
        <v>Diya Verma</v>
      </c>
      <c r="O27" s="17" t="s">
        <v>318</v>
      </c>
      <c r="P27" s="30" t="n">
        <v>46309</v>
      </c>
      <c r="Q27" s="30" t="n">
        <v>46310</v>
      </c>
      <c r="R27" s="30" t="n">
        <v>46310</v>
      </c>
      <c r="S27" s="15" t="s">
        <v>44</v>
      </c>
      <c r="T27" s="33" t="str">
        <f aca="true">IF(S27="Completed",IF(R27&lt;=Q27,"On Time","Delayed"),IF(Q27&lt;TODAY(),"Overdue","Pending"))</f>
        <v>On Time</v>
      </c>
      <c r="U27" s="16" t="n">
        <f aca="false">IF(S27="Completed",IF(R27&lt;=Q27,1,0),0)</f>
        <v>1</v>
      </c>
    </row>
    <row r="28" customFormat="false" ht="15" hidden="false" customHeight="false" outlineLevel="0" collapsed="false">
      <c r="A28" s="12" t="s">
        <v>360</v>
      </c>
      <c r="B28" s="26" t="n">
        <v>46291</v>
      </c>
      <c r="C28" s="12" t="s">
        <v>107</v>
      </c>
      <c r="D28" s="14" t="str">
        <f aca="false">IFERROR(_xlfn.XLOOKUP(C28,EmployeeTable[Employee ID],EmployeeTable[Employee Name],"Not found"),IFERROR(INDEX(EmployeeTable[Employee Name],MATCH(C28,EmployeeTable[Employee ID],0)),"Not found"))</f>
        <v>Kabir Patel</v>
      </c>
      <c r="E28" s="14" t="s">
        <v>321</v>
      </c>
      <c r="F28" s="27" t="n">
        <v>46291.71875</v>
      </c>
      <c r="G28" s="27" t="n">
        <v>46291.7708333333</v>
      </c>
      <c r="H28" s="12" t="s">
        <v>44</v>
      </c>
      <c r="I28" s="28" t="n">
        <f aca="false">IF(G28="","",(G28-F28)*24)</f>
        <v>1.25000000023283</v>
      </c>
      <c r="J28" s="60" t="str">
        <f aca="false">IF(H28="Completed",IF(I28&lt;=4,"Within SLA","Delayed"),"")</f>
        <v>Within SLA</v>
      </c>
      <c r="L28" s="12" t="s">
        <v>361</v>
      </c>
      <c r="M28" s="12" t="s">
        <v>140</v>
      </c>
      <c r="N28" s="14" t="str">
        <f aca="false">IFERROR(_xlfn.XLOOKUP(M28,EmployeeTable[Employee ID],EmployeeTable[Employee Name],"Not found"),IFERROR(INDEX(EmployeeTable[Employee Name],MATCH(M28,EmployeeTable[Employee ID],0)),"Not found"))</f>
        <v>Vivaan Joshi</v>
      </c>
      <c r="O28" s="14" t="s">
        <v>324</v>
      </c>
      <c r="P28" s="26" t="n">
        <v>46312</v>
      </c>
      <c r="Q28" s="26" t="n">
        <v>46315</v>
      </c>
      <c r="R28" s="26"/>
      <c r="S28" s="12" t="s">
        <v>21</v>
      </c>
      <c r="T28" s="29" t="str">
        <f aca="true">IF(S28="Completed",IF(R28&lt;=Q28,"On Time","Delayed"),IF(Q28&lt;TODAY(),"Overdue","Pending"))</f>
        <v>Pending</v>
      </c>
      <c r="U28" s="13" t="n">
        <f aca="false">IF(S28="Completed",IF(R28&lt;=Q28,1,0),0)</f>
        <v>0</v>
      </c>
    </row>
    <row r="29" customFormat="false" ht="15" hidden="false" customHeight="false" outlineLevel="0" collapsed="false">
      <c r="A29" s="15" t="s">
        <v>362</v>
      </c>
      <c r="B29" s="30" t="n">
        <v>46295</v>
      </c>
      <c r="C29" s="15" t="s">
        <v>123</v>
      </c>
      <c r="D29" s="17" t="str">
        <f aca="false">IFERROR(_xlfn.XLOOKUP(C29,EmployeeTable[Employee ID],EmployeeTable[Employee Name],"Not found"),IFERROR(INDEX(EmployeeTable[Employee Name],MATCH(C29,EmployeeTable[Employee ID],0)),"Not found"))</f>
        <v>Ananya Rao</v>
      </c>
      <c r="E29" s="17" t="s">
        <v>296</v>
      </c>
      <c r="F29" s="31" t="n">
        <v>46295.5416666667</v>
      </c>
      <c r="G29" s="31"/>
      <c r="H29" s="15" t="s">
        <v>322</v>
      </c>
      <c r="I29" s="32" t="str">
        <f aca="false">IF(G29="","",(G29-F29)*24)</f>
        <v/>
      </c>
      <c r="J29" s="57" t="str">
        <f aca="false">IF(H29="Completed",IF(I29&lt;=4,"Within SLA","Delayed"),"")</f>
        <v/>
      </c>
      <c r="L29" s="15" t="s">
        <v>363</v>
      </c>
      <c r="M29" s="15" t="s">
        <v>123</v>
      </c>
      <c r="N29" s="17" t="str">
        <f aca="false">IFERROR(_xlfn.XLOOKUP(M29,EmployeeTable[Employee ID],EmployeeTable[Employee Name],"Not found"),IFERROR(INDEX(EmployeeTable[Employee Name],MATCH(M29,EmployeeTable[Employee ID],0)),"Not found"))</f>
        <v>Ananya Rao</v>
      </c>
      <c r="O29" s="17" t="s">
        <v>298</v>
      </c>
      <c r="P29" s="30" t="n">
        <v>46310</v>
      </c>
      <c r="Q29" s="30" t="n">
        <v>46313</v>
      </c>
      <c r="R29" s="30" t="n">
        <v>46314</v>
      </c>
      <c r="S29" s="15" t="s">
        <v>44</v>
      </c>
      <c r="T29" s="33" t="str">
        <f aca="true">IF(S29="Completed",IF(R29&lt;=Q29,"On Time","Delayed"),IF(Q29&lt;TODAY(),"Overdue","Pending"))</f>
        <v>Delayed</v>
      </c>
      <c r="U29" s="16" t="n">
        <f aca="false">IF(S29="Completed",IF(R29&lt;=Q29,1,0),0)</f>
        <v>0</v>
      </c>
    </row>
    <row r="30" customFormat="false" ht="15" hidden="false" customHeight="false" outlineLevel="0" collapsed="false">
      <c r="A30" s="12" t="s">
        <v>364</v>
      </c>
      <c r="B30" s="26" t="n">
        <v>46301</v>
      </c>
      <c r="C30" s="12" t="s">
        <v>140</v>
      </c>
      <c r="D30" s="14" t="str">
        <f aca="false">IFERROR(_xlfn.XLOOKUP(C30,EmployeeTable[Employee ID],EmployeeTable[Employee Name],"Not found"),IFERROR(INDEX(EmployeeTable[Employee Name],MATCH(C30,EmployeeTable[Employee ID],0)),"Not found"))</f>
        <v>Vivaan Joshi</v>
      </c>
      <c r="E30" s="14" t="s">
        <v>301</v>
      </c>
      <c r="F30" s="27" t="n">
        <v>46301.7604166667</v>
      </c>
      <c r="G30" s="27"/>
      <c r="H30" s="12" t="s">
        <v>21</v>
      </c>
      <c r="I30" s="28" t="str">
        <f aca="false">IF(G30="","",(G30-F30)*24)</f>
        <v/>
      </c>
      <c r="J30" s="60" t="str">
        <f aca="false">IF(H30="Completed",IF(I30&lt;=4,"Within SLA","Delayed"),"")</f>
        <v/>
      </c>
      <c r="L30" s="12" t="s">
        <v>365</v>
      </c>
      <c r="M30" s="12" t="s">
        <v>107</v>
      </c>
      <c r="N30" s="14" t="str">
        <f aca="false">IFERROR(_xlfn.XLOOKUP(M30,EmployeeTable[Employee ID],EmployeeTable[Employee Name],"Not found"),IFERROR(INDEX(EmployeeTable[Employee Name],MATCH(M30,EmployeeTable[Employee ID],0)),"Not found"))</f>
        <v>Kabir Patel</v>
      </c>
      <c r="O30" s="14" t="s">
        <v>303</v>
      </c>
      <c r="P30" s="26" t="n">
        <v>46285</v>
      </c>
      <c r="Q30" s="26" t="n">
        <v>46288</v>
      </c>
      <c r="R30" s="26" t="n">
        <v>46288</v>
      </c>
      <c r="S30" s="12" t="s">
        <v>44</v>
      </c>
      <c r="T30" s="29" t="str">
        <f aca="true">IF(S30="Completed",IF(R30&lt;=Q30,"On Time","Delayed"),IF(Q30&lt;TODAY(),"Overdue","Pending"))</f>
        <v>On Time</v>
      </c>
      <c r="U30" s="13" t="n">
        <f aca="false">IF(S30="Completed",IF(R30&lt;=Q30,1,0),0)</f>
        <v>1</v>
      </c>
    </row>
    <row r="31" customFormat="false" ht="15" hidden="false" customHeight="false" outlineLevel="0" collapsed="false">
      <c r="A31" s="15" t="s">
        <v>366</v>
      </c>
      <c r="B31" s="30" t="n">
        <v>46292</v>
      </c>
      <c r="C31" s="15" t="s">
        <v>101</v>
      </c>
      <c r="D31" s="17" t="str">
        <f aca="false">IFERROR(_xlfn.XLOOKUP(C31,EmployeeTable[Employee ID],EmployeeTable[Employee Name],"Not found"),IFERROR(INDEX(EmployeeTable[Employee Name],MATCH(C31,EmployeeTable[Employee ID],0)),"Not found"))</f>
        <v>Diya Verma</v>
      </c>
      <c r="E31" s="17" t="s">
        <v>306</v>
      </c>
      <c r="F31" s="31" t="n">
        <v>46292.8645833333</v>
      </c>
      <c r="G31" s="31"/>
      <c r="H31" s="15" t="s">
        <v>29</v>
      </c>
      <c r="I31" s="32" t="str">
        <f aca="false">IF(G31="","",(G31-F31)*24)</f>
        <v/>
      </c>
      <c r="J31" s="57" t="str">
        <f aca="false">IF(H31="Completed",IF(I31&lt;=4,"Within SLA","Delayed"),"")</f>
        <v/>
      </c>
      <c r="L31" s="15" t="s">
        <v>367</v>
      </c>
      <c r="M31" s="15" t="s">
        <v>145</v>
      </c>
      <c r="N31" s="17" t="str">
        <f aca="false">IFERROR(_xlfn.XLOOKUP(M31,EmployeeTable[Employee ID],EmployeeTable[Employee Name],"Not found"),IFERROR(INDEX(EmployeeTable[Employee Name],MATCH(M31,EmployeeTable[Employee ID],0)),"Not found"))</f>
        <v>Ira Nair</v>
      </c>
      <c r="O31" s="17" t="s">
        <v>308</v>
      </c>
      <c r="P31" s="30" t="n">
        <v>46313</v>
      </c>
      <c r="Q31" s="30" t="n">
        <v>46318</v>
      </c>
      <c r="R31" s="30"/>
      <c r="S31" s="15" t="s">
        <v>322</v>
      </c>
      <c r="T31" s="33" t="str">
        <f aca="true">IF(S31="Completed",IF(R31&lt;=Q31,"On Time","Delayed"),IF(Q31&lt;TODAY(),"Overdue","Pending"))</f>
        <v>Pending</v>
      </c>
      <c r="U31" s="16" t="n">
        <f aca="false">IF(S31="Completed",IF(R31&lt;=Q31,1,0),0)</f>
        <v>0</v>
      </c>
    </row>
    <row r="32" customFormat="false" ht="15" hidden="false" customHeight="false" outlineLevel="0" collapsed="false">
      <c r="A32" s="12" t="s">
        <v>368</v>
      </c>
      <c r="B32" s="26" t="n">
        <v>46267</v>
      </c>
      <c r="C32" s="12" t="s">
        <v>117</v>
      </c>
      <c r="D32" s="14" t="str">
        <f aca="false">IFERROR(_xlfn.XLOOKUP(C32,EmployeeTable[Employee ID],EmployeeTable[Employee Name],"Not found"),IFERROR(INDEX(EmployeeTable[Employee Name],MATCH(C32,EmployeeTable[Employee ID],0)),"Not found"))</f>
        <v>Ishaan Gupta</v>
      </c>
      <c r="E32" s="14" t="s">
        <v>311</v>
      </c>
      <c r="F32" s="27" t="n">
        <v>46267.4270833333</v>
      </c>
      <c r="G32" s="27"/>
      <c r="H32" s="12" t="s">
        <v>322</v>
      </c>
      <c r="I32" s="28" t="str">
        <f aca="false">IF(G32="","",(G32-F32)*24)</f>
        <v/>
      </c>
      <c r="J32" s="60" t="str">
        <f aca="false">IF(H32="Completed",IF(I32&lt;=4,"Within SLA","Delayed"),"")</f>
        <v/>
      </c>
      <c r="L32" s="12" t="s">
        <v>369</v>
      </c>
      <c r="M32" s="12" t="s">
        <v>129</v>
      </c>
      <c r="N32" s="14" t="str">
        <f aca="false">IFERROR(_xlfn.XLOOKUP(M32,EmployeeTable[Employee ID],EmployeeTable[Employee Name],"Not found"),IFERROR(INDEX(EmployeeTable[Employee Name],MATCH(M32,EmployeeTable[Employee ID],0)),"Not found"))</f>
        <v>Rohan Das</v>
      </c>
      <c r="O32" s="14" t="s">
        <v>313</v>
      </c>
      <c r="P32" s="26" t="n">
        <v>46313</v>
      </c>
      <c r="Q32" s="26" t="n">
        <v>46317</v>
      </c>
      <c r="R32" s="26" t="n">
        <v>46315</v>
      </c>
      <c r="S32" s="12" t="s">
        <v>44</v>
      </c>
      <c r="T32" s="29" t="str">
        <f aca="true">IF(S32="Completed",IF(R32&lt;=Q32,"On Time","Delayed"),IF(Q32&lt;TODAY(),"Overdue","Pending"))</f>
        <v>On Time</v>
      </c>
      <c r="U32" s="13" t="n">
        <f aca="false">IF(S32="Completed",IF(R32&lt;=Q32,1,0),0)</f>
        <v>1</v>
      </c>
    </row>
    <row r="33" customFormat="false" ht="15" hidden="false" customHeight="false" outlineLevel="0" collapsed="false">
      <c r="A33" s="15" t="s">
        <v>370</v>
      </c>
      <c r="B33" s="30" t="n">
        <v>46263</v>
      </c>
      <c r="C33" s="15" t="s">
        <v>135</v>
      </c>
      <c r="D33" s="17" t="str">
        <f aca="false">IFERROR(_xlfn.XLOOKUP(C33,EmployeeTable[Employee ID],EmployeeTable[Employee Name],"Not found"),IFERROR(INDEX(EmployeeTable[Employee Name],MATCH(C33,EmployeeTable[Employee ID],0)),"Not found"))</f>
        <v>Sana Khan</v>
      </c>
      <c r="E33" s="17" t="s">
        <v>316</v>
      </c>
      <c r="F33" s="31" t="n">
        <v>46263.84375</v>
      </c>
      <c r="G33" s="31"/>
      <c r="H33" s="15" t="s">
        <v>322</v>
      </c>
      <c r="I33" s="32" t="str">
        <f aca="false">IF(G33="","",(G33-F33)*24)</f>
        <v/>
      </c>
      <c r="J33" s="57" t="str">
        <f aca="false">IF(H33="Completed",IF(I33&lt;=4,"Within SLA","Delayed"),"")</f>
        <v/>
      </c>
      <c r="L33" s="15" t="s">
        <v>371</v>
      </c>
      <c r="M33" s="15" t="s">
        <v>112</v>
      </c>
      <c r="N33" s="17" t="str">
        <f aca="false">IFERROR(_xlfn.XLOOKUP(M33,EmployeeTable[Employee ID],EmployeeTable[Employee Name],"Not found"),IFERROR(INDEX(EmployeeTable[Employee Name],MATCH(M33,EmployeeTable[Employee ID],0)),"Not found"))</f>
        <v>Meera Singh</v>
      </c>
      <c r="O33" s="17" t="s">
        <v>318</v>
      </c>
      <c r="P33" s="30" t="n">
        <v>46292</v>
      </c>
      <c r="Q33" s="30" t="n">
        <v>46294</v>
      </c>
      <c r="R33" s="30"/>
      <c r="S33" s="15" t="s">
        <v>21</v>
      </c>
      <c r="T33" s="33" t="str">
        <f aca="true">IF(S33="Completed",IF(R33&lt;=Q33,"On Time","Delayed"),IF(Q33&lt;TODAY(),"Overdue","Pending"))</f>
        <v>Overdue</v>
      </c>
      <c r="U33" s="16" t="n">
        <f aca="false">IF(S33="Completed",IF(R33&lt;=Q33,1,0),0)</f>
        <v>0</v>
      </c>
    </row>
    <row r="34" customFormat="false" ht="15" hidden="false" customHeight="false" outlineLevel="0" collapsed="false">
      <c r="A34" s="12" t="s">
        <v>372</v>
      </c>
      <c r="B34" s="26" t="n">
        <v>46313</v>
      </c>
      <c r="C34" s="12" t="s">
        <v>95</v>
      </c>
      <c r="D34" s="14" t="str">
        <f aca="false">IFERROR(_xlfn.XLOOKUP(C34,EmployeeTable[Employee ID],EmployeeTable[Employee Name],"Not found"),IFERROR(INDEX(EmployeeTable[Employee Name],MATCH(C34,EmployeeTable[Employee ID],0)),"Not found"))</f>
        <v>Aarav Sharma</v>
      </c>
      <c r="E34" s="14" t="s">
        <v>321</v>
      </c>
      <c r="F34" s="27" t="n">
        <v>46313.4375</v>
      </c>
      <c r="G34" s="27"/>
      <c r="H34" s="12" t="s">
        <v>21</v>
      </c>
      <c r="I34" s="28" t="str">
        <f aca="false">IF(G34="","",(G34-F34)*24)</f>
        <v/>
      </c>
      <c r="J34" s="60" t="str">
        <f aca="false">IF(H34="Completed",IF(I34&lt;=4,"Within SLA","Delayed"),"")</f>
        <v/>
      </c>
      <c r="L34" s="12" t="s">
        <v>373</v>
      </c>
      <c r="M34" s="12" t="s">
        <v>95</v>
      </c>
      <c r="N34" s="14" t="str">
        <f aca="false">IFERROR(_xlfn.XLOOKUP(M34,EmployeeTable[Employee ID],EmployeeTable[Employee Name],"Not found"),IFERROR(INDEX(EmployeeTable[Employee Name],MATCH(M34,EmployeeTable[Employee ID],0)),"Not found"))</f>
        <v>Aarav Sharma</v>
      </c>
      <c r="O34" s="14" t="s">
        <v>324</v>
      </c>
      <c r="P34" s="26" t="n">
        <v>46288</v>
      </c>
      <c r="Q34" s="26" t="n">
        <v>46292</v>
      </c>
      <c r="R34" s="26"/>
      <c r="S34" s="12" t="s">
        <v>21</v>
      </c>
      <c r="T34" s="29" t="str">
        <f aca="true">IF(S34="Completed",IF(R34&lt;=Q34,"On Time","Delayed"),IF(Q34&lt;TODAY(),"Overdue","Pending"))</f>
        <v>Overdue</v>
      </c>
      <c r="U34" s="13" t="n">
        <f aca="false">IF(S34="Completed",IF(R34&lt;=Q34,1,0),0)</f>
        <v>0</v>
      </c>
    </row>
    <row r="35" customFormat="false" ht="15" hidden="false" customHeight="false" outlineLevel="0" collapsed="false">
      <c r="A35" s="15" t="s">
        <v>374</v>
      </c>
      <c r="B35" s="30" t="n">
        <v>46288</v>
      </c>
      <c r="C35" s="15" t="s">
        <v>112</v>
      </c>
      <c r="D35" s="17" t="str">
        <f aca="false">IFERROR(_xlfn.XLOOKUP(C35,EmployeeTable[Employee ID],EmployeeTable[Employee Name],"Not found"),IFERROR(INDEX(EmployeeTable[Employee Name],MATCH(C35,EmployeeTable[Employee ID],0)),"Not found"))</f>
        <v>Meera Singh</v>
      </c>
      <c r="E35" s="17" t="s">
        <v>296</v>
      </c>
      <c r="F35" s="31" t="n">
        <v>46288.84375</v>
      </c>
      <c r="G35" s="31" t="n">
        <v>46289.3854166667</v>
      </c>
      <c r="H35" s="15" t="s">
        <v>44</v>
      </c>
      <c r="I35" s="32" t="n">
        <f aca="false">IF(G35="","",(G35-F35)*24)</f>
        <v>12.9999999997672</v>
      </c>
      <c r="J35" s="57" t="str">
        <f aca="false">IF(H35="Completed",IF(I35&lt;=4,"Within SLA","Delayed"),"")</f>
        <v>Delayed</v>
      </c>
      <c r="L35" s="15" t="s">
        <v>375</v>
      </c>
      <c r="M35" s="15" t="s">
        <v>135</v>
      </c>
      <c r="N35" s="17" t="str">
        <f aca="false">IFERROR(_xlfn.XLOOKUP(M35,EmployeeTable[Employee ID],EmployeeTable[Employee Name],"Not found"),IFERROR(INDEX(EmployeeTable[Employee Name],MATCH(M35,EmployeeTable[Employee ID],0)),"Not found"))</f>
        <v>Sana Khan</v>
      </c>
      <c r="O35" s="17" t="s">
        <v>298</v>
      </c>
      <c r="P35" s="30" t="n">
        <v>46280</v>
      </c>
      <c r="Q35" s="30" t="n">
        <v>46284</v>
      </c>
      <c r="R35" s="30"/>
      <c r="S35" s="15" t="s">
        <v>322</v>
      </c>
      <c r="T35" s="33" t="str">
        <f aca="true">IF(S35="Completed",IF(R35&lt;=Q35,"On Time","Delayed"),IF(Q35&lt;TODAY(),"Overdue","Pending"))</f>
        <v>Overdue</v>
      </c>
      <c r="U35" s="16" t="n">
        <f aca="false">IF(S35="Completed",IF(R35&lt;=Q35,1,0),0)</f>
        <v>0</v>
      </c>
    </row>
    <row r="36" customFormat="false" ht="15" hidden="false" customHeight="false" outlineLevel="0" collapsed="false">
      <c r="A36" s="12" t="s">
        <v>376</v>
      </c>
      <c r="B36" s="26" t="n">
        <v>46270</v>
      </c>
      <c r="C36" s="12" t="s">
        <v>129</v>
      </c>
      <c r="D36" s="14" t="str">
        <f aca="false">IFERROR(_xlfn.XLOOKUP(C36,EmployeeTable[Employee ID],EmployeeTable[Employee Name],"Not found"),IFERROR(INDEX(EmployeeTable[Employee Name],MATCH(C36,EmployeeTable[Employee ID],0)),"Not found"))</f>
        <v>Rohan Das</v>
      </c>
      <c r="E36" s="14" t="s">
        <v>301</v>
      </c>
      <c r="F36" s="27" t="n">
        <v>46270.40625</v>
      </c>
      <c r="G36" s="27"/>
      <c r="H36" s="12" t="s">
        <v>322</v>
      </c>
      <c r="I36" s="28" t="str">
        <f aca="false">IF(G36="","",(G36-F36)*24)</f>
        <v/>
      </c>
      <c r="J36" s="60" t="str">
        <f aca="false">IF(H36="Completed",IF(I36&lt;=4,"Within SLA","Delayed"),"")</f>
        <v/>
      </c>
      <c r="L36" s="12" t="s">
        <v>377</v>
      </c>
      <c r="M36" s="12" t="s">
        <v>117</v>
      </c>
      <c r="N36" s="14" t="str">
        <f aca="false">IFERROR(_xlfn.XLOOKUP(M36,EmployeeTable[Employee ID],EmployeeTable[Employee Name],"Not found"),IFERROR(INDEX(EmployeeTable[Employee Name],MATCH(M36,EmployeeTable[Employee ID],0)),"Not found"))</f>
        <v>Ishaan Gupta</v>
      </c>
      <c r="O36" s="14" t="s">
        <v>303</v>
      </c>
      <c r="P36" s="26" t="n">
        <v>46283</v>
      </c>
      <c r="Q36" s="26" t="n">
        <v>46284</v>
      </c>
      <c r="R36" s="26" t="n">
        <v>46284</v>
      </c>
      <c r="S36" s="12" t="s">
        <v>44</v>
      </c>
      <c r="T36" s="29" t="str">
        <f aca="true">IF(S36="Completed",IF(R36&lt;=Q36,"On Time","Delayed"),IF(Q36&lt;TODAY(),"Overdue","Pending"))</f>
        <v>On Time</v>
      </c>
      <c r="U36" s="13" t="n">
        <f aca="false">IF(S36="Completed",IF(R36&lt;=Q36,1,0),0)</f>
        <v>1</v>
      </c>
    </row>
    <row r="37" customFormat="false" ht="15" hidden="false" customHeight="false" outlineLevel="0" collapsed="false">
      <c r="A37" s="15" t="s">
        <v>378</v>
      </c>
      <c r="B37" s="30" t="n">
        <v>46260</v>
      </c>
      <c r="C37" s="15" t="s">
        <v>145</v>
      </c>
      <c r="D37" s="17" t="str">
        <f aca="false">IFERROR(_xlfn.XLOOKUP(C37,EmployeeTable[Employee ID],EmployeeTable[Employee Name],"Not found"),IFERROR(INDEX(EmployeeTable[Employee Name],MATCH(C37,EmployeeTable[Employee ID],0)),"Not found"))</f>
        <v>Ira Nair</v>
      </c>
      <c r="E37" s="17" t="s">
        <v>306</v>
      </c>
      <c r="F37" s="31" t="n">
        <v>46260.6354166667</v>
      </c>
      <c r="G37" s="31" t="n">
        <v>46260.84375</v>
      </c>
      <c r="H37" s="15" t="s">
        <v>44</v>
      </c>
      <c r="I37" s="32" t="n">
        <f aca="false">IF(G37="","",(G37-F37)*24)</f>
        <v>5.00000000023283</v>
      </c>
      <c r="J37" s="57" t="str">
        <f aca="false">IF(H37="Completed",IF(I37&lt;=4,"Within SLA","Delayed"),"")</f>
        <v>Delayed</v>
      </c>
      <c r="L37" s="15" t="s">
        <v>379</v>
      </c>
      <c r="M37" s="15" t="s">
        <v>101</v>
      </c>
      <c r="N37" s="17" t="str">
        <f aca="false">IFERROR(_xlfn.XLOOKUP(M37,EmployeeTable[Employee ID],EmployeeTable[Employee Name],"Not found"),IFERROR(INDEX(EmployeeTable[Employee Name],MATCH(M37,EmployeeTable[Employee ID],0)),"Not found"))</f>
        <v>Diya Verma</v>
      </c>
      <c r="O37" s="17" t="s">
        <v>308</v>
      </c>
      <c r="P37" s="30" t="n">
        <v>46313</v>
      </c>
      <c r="Q37" s="30" t="n">
        <v>46316</v>
      </c>
      <c r="R37" s="30" t="n">
        <v>46318</v>
      </c>
      <c r="S37" s="15" t="s">
        <v>44</v>
      </c>
      <c r="T37" s="33" t="str">
        <f aca="true">IF(S37="Completed",IF(R37&lt;=Q37,"On Time","Delayed"),IF(Q37&lt;TODAY(),"Overdue","Pending"))</f>
        <v>Delayed</v>
      </c>
      <c r="U37" s="16" t="n">
        <f aca="false">IF(S37="Completed",IF(R37&lt;=Q37,1,0),0)</f>
        <v>0</v>
      </c>
    </row>
    <row r="38" customFormat="false" ht="15" hidden="false" customHeight="false" outlineLevel="0" collapsed="false">
      <c r="A38" s="12" t="s">
        <v>380</v>
      </c>
      <c r="B38" s="26" t="n">
        <v>46292</v>
      </c>
      <c r="C38" s="12" t="s">
        <v>107</v>
      </c>
      <c r="D38" s="14" t="str">
        <f aca="false">IFERROR(_xlfn.XLOOKUP(C38,EmployeeTable[Employee ID],EmployeeTable[Employee Name],"Not found"),IFERROR(INDEX(EmployeeTable[Employee Name],MATCH(C38,EmployeeTable[Employee ID],0)),"Not found"))</f>
        <v>Kabir Patel</v>
      </c>
      <c r="E38" s="14" t="s">
        <v>311</v>
      </c>
      <c r="F38" s="27" t="n">
        <v>46292.5104166667</v>
      </c>
      <c r="G38" s="27" t="n">
        <v>46292.9270833333</v>
      </c>
      <c r="H38" s="12" t="s">
        <v>44</v>
      </c>
      <c r="I38" s="28" t="n">
        <f aca="false">IF(G38="","",(G38-F38)*24)</f>
        <v>10.0000000004657</v>
      </c>
      <c r="J38" s="60" t="str">
        <f aca="false">IF(H38="Completed",IF(I38&lt;=4,"Within SLA","Delayed"),"")</f>
        <v>Delayed</v>
      </c>
      <c r="L38" s="12" t="s">
        <v>381</v>
      </c>
      <c r="M38" s="12" t="s">
        <v>140</v>
      </c>
      <c r="N38" s="14" t="str">
        <f aca="false">IFERROR(_xlfn.XLOOKUP(M38,EmployeeTable[Employee ID],EmployeeTable[Employee Name],"Not found"),IFERROR(INDEX(EmployeeTable[Employee Name],MATCH(M38,EmployeeTable[Employee ID],0)),"Not found"))</f>
        <v>Vivaan Joshi</v>
      </c>
      <c r="O38" s="14" t="s">
        <v>313</v>
      </c>
      <c r="P38" s="26" t="n">
        <v>46289</v>
      </c>
      <c r="Q38" s="26" t="n">
        <v>46294</v>
      </c>
      <c r="R38" s="26" t="n">
        <v>46294</v>
      </c>
      <c r="S38" s="12" t="s">
        <v>44</v>
      </c>
      <c r="T38" s="29" t="str">
        <f aca="true">IF(S38="Completed",IF(R38&lt;=Q38,"On Time","Delayed"),IF(Q38&lt;TODAY(),"Overdue","Pending"))</f>
        <v>On Time</v>
      </c>
      <c r="U38" s="13" t="n">
        <f aca="false">IF(S38="Completed",IF(R38&lt;=Q38,1,0),0)</f>
        <v>1</v>
      </c>
    </row>
    <row r="39" customFormat="false" ht="15" hidden="false" customHeight="false" outlineLevel="0" collapsed="false">
      <c r="A39" s="15" t="s">
        <v>382</v>
      </c>
      <c r="B39" s="30" t="n">
        <v>46302</v>
      </c>
      <c r="C39" s="15" t="s">
        <v>123</v>
      </c>
      <c r="D39" s="17" t="str">
        <f aca="false">IFERROR(_xlfn.XLOOKUP(C39,EmployeeTable[Employee ID],EmployeeTable[Employee Name],"Not found"),IFERROR(INDEX(EmployeeTable[Employee Name],MATCH(C39,EmployeeTable[Employee ID],0)),"Not found"))</f>
        <v>Ananya Rao</v>
      </c>
      <c r="E39" s="17" t="s">
        <v>316</v>
      </c>
      <c r="F39" s="31" t="n">
        <v>46302.6041666667</v>
      </c>
      <c r="G39" s="31" t="n">
        <v>46302.65625</v>
      </c>
      <c r="H39" s="15" t="s">
        <v>44</v>
      </c>
      <c r="I39" s="32" t="n">
        <f aca="false">IF(G39="","",(G39-F39)*24)</f>
        <v>1.25000000023283</v>
      </c>
      <c r="J39" s="57" t="str">
        <f aca="false">IF(H39="Completed",IF(I39&lt;=4,"Within SLA","Delayed"),"")</f>
        <v>Within SLA</v>
      </c>
      <c r="L39" s="15" t="s">
        <v>383</v>
      </c>
      <c r="M39" s="15" t="s">
        <v>123</v>
      </c>
      <c r="N39" s="17" t="str">
        <f aca="false">IFERROR(_xlfn.XLOOKUP(M39,EmployeeTable[Employee ID],EmployeeTable[Employee Name],"Not found"),IFERROR(INDEX(EmployeeTable[Employee Name],MATCH(M39,EmployeeTable[Employee ID],0)),"Not found"))</f>
        <v>Ananya Rao</v>
      </c>
      <c r="O39" s="17" t="s">
        <v>318</v>
      </c>
      <c r="P39" s="30" t="n">
        <v>46306</v>
      </c>
      <c r="Q39" s="30" t="n">
        <v>46310</v>
      </c>
      <c r="R39" s="30" t="n">
        <v>46310</v>
      </c>
      <c r="S39" s="15" t="s">
        <v>44</v>
      </c>
      <c r="T39" s="33" t="str">
        <f aca="true">IF(S39="Completed",IF(R39&lt;=Q39,"On Time","Delayed"),IF(Q39&lt;TODAY(),"Overdue","Pending"))</f>
        <v>On Time</v>
      </c>
      <c r="U39" s="16" t="n">
        <f aca="false">IF(S39="Completed",IF(R39&lt;=Q39,1,0),0)</f>
        <v>1</v>
      </c>
    </row>
    <row r="40" customFormat="false" ht="15" hidden="false" customHeight="false" outlineLevel="0" collapsed="false">
      <c r="A40" s="12" t="s">
        <v>384</v>
      </c>
      <c r="B40" s="26" t="n">
        <v>46265</v>
      </c>
      <c r="C40" s="12" t="s">
        <v>140</v>
      </c>
      <c r="D40" s="14" t="str">
        <f aca="false">IFERROR(_xlfn.XLOOKUP(C40,EmployeeTable[Employee ID],EmployeeTable[Employee Name],"Not found"),IFERROR(INDEX(EmployeeTable[Employee Name],MATCH(C40,EmployeeTable[Employee ID],0)),"Not found"))</f>
        <v>Vivaan Joshi</v>
      </c>
      <c r="E40" s="14" t="s">
        <v>321</v>
      </c>
      <c r="F40" s="27" t="n">
        <v>46265.5208333333</v>
      </c>
      <c r="G40" s="27"/>
      <c r="H40" s="12" t="s">
        <v>21</v>
      </c>
      <c r="I40" s="28" t="str">
        <f aca="false">IF(G40="","",(G40-F40)*24)</f>
        <v/>
      </c>
      <c r="J40" s="60" t="str">
        <f aca="false">IF(H40="Completed",IF(I40&lt;=4,"Within SLA","Delayed"),"")</f>
        <v/>
      </c>
      <c r="L40" s="12" t="s">
        <v>385</v>
      </c>
      <c r="M40" s="12" t="s">
        <v>107</v>
      </c>
      <c r="N40" s="14" t="str">
        <f aca="false">IFERROR(_xlfn.XLOOKUP(M40,EmployeeTable[Employee ID],EmployeeTable[Employee Name],"Not found"),IFERROR(INDEX(EmployeeTable[Employee Name],MATCH(M40,EmployeeTable[Employee ID],0)),"Not found"))</f>
        <v>Kabir Patel</v>
      </c>
      <c r="O40" s="14" t="s">
        <v>324</v>
      </c>
      <c r="P40" s="26" t="n">
        <v>46277</v>
      </c>
      <c r="Q40" s="26" t="n">
        <v>46281</v>
      </c>
      <c r="R40" s="26"/>
      <c r="S40" s="12" t="s">
        <v>21</v>
      </c>
      <c r="T40" s="29" t="str">
        <f aca="true">IF(S40="Completed",IF(R40&lt;=Q40,"On Time","Delayed"),IF(Q40&lt;TODAY(),"Overdue","Pending"))</f>
        <v>Overdue</v>
      </c>
      <c r="U40" s="13" t="n">
        <f aca="false">IF(S40="Completed",IF(R40&lt;=Q40,1,0),0)</f>
        <v>0</v>
      </c>
    </row>
    <row r="41" customFormat="false" ht="15" hidden="false" customHeight="false" outlineLevel="0" collapsed="false">
      <c r="A41" s="15" t="s">
        <v>386</v>
      </c>
      <c r="B41" s="30" t="n">
        <v>46289</v>
      </c>
      <c r="C41" s="15" t="s">
        <v>101</v>
      </c>
      <c r="D41" s="17" t="str">
        <f aca="false">IFERROR(_xlfn.XLOOKUP(C41,EmployeeTable[Employee ID],EmployeeTable[Employee Name],"Not found"),IFERROR(INDEX(EmployeeTable[Employee Name],MATCH(C41,EmployeeTable[Employee ID],0)),"Not found"))</f>
        <v>Diya Verma</v>
      </c>
      <c r="E41" s="17" t="s">
        <v>296</v>
      </c>
      <c r="F41" s="31" t="n">
        <v>46289.7708333333</v>
      </c>
      <c r="G41" s="31"/>
      <c r="H41" s="15" t="s">
        <v>322</v>
      </c>
      <c r="I41" s="32" t="str">
        <f aca="false">IF(G41="","",(G41-F41)*24)</f>
        <v/>
      </c>
      <c r="J41" s="57" t="str">
        <f aca="false">IF(H41="Completed",IF(I41&lt;=4,"Within SLA","Delayed"),"")</f>
        <v/>
      </c>
      <c r="L41" s="15" t="s">
        <v>387</v>
      </c>
      <c r="M41" s="15" t="s">
        <v>145</v>
      </c>
      <c r="N41" s="17" t="str">
        <f aca="false">IFERROR(_xlfn.XLOOKUP(M41,EmployeeTable[Employee ID],EmployeeTable[Employee Name],"Not found"),IFERROR(INDEX(EmployeeTable[Employee Name],MATCH(M41,EmployeeTable[Employee ID],0)),"Not found"))</f>
        <v>Ira Nair</v>
      </c>
      <c r="O41" s="17" t="s">
        <v>298</v>
      </c>
      <c r="P41" s="30" t="n">
        <v>46309</v>
      </c>
      <c r="Q41" s="30" t="n">
        <v>46314</v>
      </c>
      <c r="R41" s="30" t="n">
        <v>46314</v>
      </c>
      <c r="S41" s="15" t="s">
        <v>44</v>
      </c>
      <c r="T41" s="33" t="str">
        <f aca="true">IF(S41="Completed",IF(R41&lt;=Q41,"On Time","Delayed"),IF(Q41&lt;TODAY(),"Overdue","Pending"))</f>
        <v>On Time</v>
      </c>
      <c r="U41" s="16" t="n">
        <f aca="false">IF(S41="Completed",IF(R41&lt;=Q41,1,0),0)</f>
        <v>1</v>
      </c>
    </row>
    <row r="42" customFormat="false" ht="15" hidden="false" customHeight="false" outlineLevel="0" collapsed="false">
      <c r="A42" s="12" t="s">
        <v>388</v>
      </c>
      <c r="B42" s="26" t="n">
        <v>46307</v>
      </c>
      <c r="C42" s="12" t="s">
        <v>117</v>
      </c>
      <c r="D42" s="14" t="str">
        <f aca="false">IFERROR(_xlfn.XLOOKUP(C42,EmployeeTable[Employee ID],EmployeeTable[Employee Name],"Not found"),IFERROR(INDEX(EmployeeTable[Employee Name],MATCH(C42,EmployeeTable[Employee ID],0)),"Not found"))</f>
        <v>Ishaan Gupta</v>
      </c>
      <c r="E42" s="14" t="s">
        <v>301</v>
      </c>
      <c r="F42" s="27" t="n">
        <v>46307.9375</v>
      </c>
      <c r="G42" s="27" t="n">
        <v>46308.0833333333</v>
      </c>
      <c r="H42" s="12" t="s">
        <v>44</v>
      </c>
      <c r="I42" s="28" t="n">
        <f aca="false">IF(G42="","",(G42-F42)*24)</f>
        <v>3.50000000023283</v>
      </c>
      <c r="J42" s="60" t="str">
        <f aca="false">IF(H42="Completed",IF(I42&lt;=4,"Within SLA","Delayed"),"")</f>
        <v>Within SLA</v>
      </c>
      <c r="L42" s="12" t="s">
        <v>389</v>
      </c>
      <c r="M42" s="12" t="s">
        <v>129</v>
      </c>
      <c r="N42" s="14" t="str">
        <f aca="false">IFERROR(_xlfn.XLOOKUP(M42,EmployeeTable[Employee ID],EmployeeTable[Employee Name],"Not found"),IFERROR(INDEX(EmployeeTable[Employee Name],MATCH(M42,EmployeeTable[Employee ID],0)),"Not found"))</f>
        <v>Rohan Das</v>
      </c>
      <c r="O42" s="14" t="s">
        <v>303</v>
      </c>
      <c r="P42" s="26" t="n">
        <v>46303</v>
      </c>
      <c r="Q42" s="26" t="n">
        <v>46303</v>
      </c>
      <c r="R42" s="26" t="n">
        <v>46303</v>
      </c>
      <c r="S42" s="12" t="s">
        <v>44</v>
      </c>
      <c r="T42" s="29" t="str">
        <f aca="true">IF(S42="Completed",IF(R42&lt;=Q42,"On Time","Delayed"),IF(Q42&lt;TODAY(),"Overdue","Pending"))</f>
        <v>On Time</v>
      </c>
      <c r="U42" s="13" t="n">
        <f aca="false">IF(S42="Completed",IF(R42&lt;=Q42,1,0),0)</f>
        <v>1</v>
      </c>
    </row>
    <row r="43" customFormat="false" ht="15" hidden="false" customHeight="false" outlineLevel="0" collapsed="false">
      <c r="A43" s="15" t="s">
        <v>390</v>
      </c>
      <c r="B43" s="30" t="n">
        <v>46312</v>
      </c>
      <c r="C43" s="15" t="s">
        <v>135</v>
      </c>
      <c r="D43" s="17" t="str">
        <f aca="false">IFERROR(_xlfn.XLOOKUP(C43,EmployeeTable[Employee ID],EmployeeTable[Employee Name],"Not found"),IFERROR(INDEX(EmployeeTable[Employee Name],MATCH(C43,EmployeeTable[Employee ID],0)),"Not found"))</f>
        <v>Sana Khan</v>
      </c>
      <c r="E43" s="17" t="s">
        <v>306</v>
      </c>
      <c r="F43" s="31" t="n">
        <v>46312.40625</v>
      </c>
      <c r="G43" s="31" t="n">
        <v>46312.9479166667</v>
      </c>
      <c r="H43" s="15" t="s">
        <v>44</v>
      </c>
      <c r="I43" s="32" t="n">
        <f aca="false">IF(G43="","",(G43-F43)*24)</f>
        <v>12.9999999997672</v>
      </c>
      <c r="J43" s="57" t="str">
        <f aca="false">IF(H43="Completed",IF(I43&lt;=4,"Within SLA","Delayed"),"")</f>
        <v>Delayed</v>
      </c>
      <c r="L43" s="15" t="s">
        <v>391</v>
      </c>
      <c r="M43" s="15" t="s">
        <v>112</v>
      </c>
      <c r="N43" s="17" t="str">
        <f aca="false">IFERROR(_xlfn.XLOOKUP(M43,EmployeeTable[Employee ID],EmployeeTable[Employee Name],"Not found"),IFERROR(INDEX(EmployeeTable[Employee Name],MATCH(M43,EmployeeTable[Employee ID],0)),"Not found"))</f>
        <v>Meera Singh</v>
      </c>
      <c r="O43" s="17" t="s">
        <v>308</v>
      </c>
      <c r="P43" s="30" t="n">
        <v>46301</v>
      </c>
      <c r="Q43" s="30" t="n">
        <v>46304</v>
      </c>
      <c r="R43" s="30" t="n">
        <v>46304</v>
      </c>
      <c r="S43" s="15" t="s">
        <v>44</v>
      </c>
      <c r="T43" s="33" t="str">
        <f aca="true">IF(S43="Completed",IF(R43&lt;=Q43,"On Time","Delayed"),IF(Q43&lt;TODAY(),"Overdue","Pending"))</f>
        <v>On Time</v>
      </c>
      <c r="U43" s="16" t="n">
        <f aca="false">IF(S43="Completed",IF(R43&lt;=Q43,1,0),0)</f>
        <v>1</v>
      </c>
    </row>
    <row r="44" customFormat="false" ht="15" hidden="false" customHeight="false" outlineLevel="0" collapsed="false">
      <c r="A44" s="12" t="s">
        <v>392</v>
      </c>
      <c r="B44" s="26" t="n">
        <v>46294</v>
      </c>
      <c r="C44" s="12" t="s">
        <v>95</v>
      </c>
      <c r="D44" s="14" t="str">
        <f aca="false">IFERROR(_xlfn.XLOOKUP(C44,EmployeeTable[Employee ID],EmployeeTable[Employee Name],"Not found"),IFERROR(INDEX(EmployeeTable[Employee Name],MATCH(C44,EmployeeTable[Employee ID],0)),"Not found"))</f>
        <v>Aarav Sharma</v>
      </c>
      <c r="E44" s="14" t="s">
        <v>311</v>
      </c>
      <c r="F44" s="27" t="n">
        <v>46294.5833333333</v>
      </c>
      <c r="G44" s="27" t="n">
        <v>46294.9166666667</v>
      </c>
      <c r="H44" s="12" t="s">
        <v>44</v>
      </c>
      <c r="I44" s="28" t="n">
        <f aca="false">IF(G44="","",(G44-F44)*24)</f>
        <v>7.99999999953434</v>
      </c>
      <c r="J44" s="60" t="str">
        <f aca="false">IF(H44="Completed",IF(I44&lt;=4,"Within SLA","Delayed"),"")</f>
        <v>Delayed</v>
      </c>
      <c r="L44" s="12" t="s">
        <v>393</v>
      </c>
      <c r="M44" s="12" t="s">
        <v>95</v>
      </c>
      <c r="N44" s="14" t="str">
        <f aca="false">IFERROR(_xlfn.XLOOKUP(M44,EmployeeTable[Employee ID],EmployeeTable[Employee Name],"Not found"),IFERROR(INDEX(EmployeeTable[Employee Name],MATCH(M44,EmployeeTable[Employee ID],0)),"Not found"))</f>
        <v>Aarav Sharma</v>
      </c>
      <c r="O44" s="14" t="s">
        <v>313</v>
      </c>
      <c r="P44" s="26" t="n">
        <v>46297</v>
      </c>
      <c r="Q44" s="26" t="n">
        <v>46300</v>
      </c>
      <c r="R44" s="26" t="n">
        <v>46298</v>
      </c>
      <c r="S44" s="12" t="s">
        <v>44</v>
      </c>
      <c r="T44" s="29" t="str">
        <f aca="true">IF(S44="Completed",IF(R44&lt;=Q44,"On Time","Delayed"),IF(Q44&lt;TODAY(),"Overdue","Pending"))</f>
        <v>On Time</v>
      </c>
      <c r="U44" s="13" t="n">
        <f aca="false">IF(S44="Completed",IF(R44&lt;=Q44,1,0),0)</f>
        <v>1</v>
      </c>
    </row>
    <row r="45" customFormat="false" ht="15" hidden="false" customHeight="false" outlineLevel="0" collapsed="false">
      <c r="A45" s="15" t="s">
        <v>394</v>
      </c>
      <c r="B45" s="30" t="n">
        <v>46302</v>
      </c>
      <c r="C45" s="15" t="s">
        <v>112</v>
      </c>
      <c r="D45" s="17" t="str">
        <f aca="false">IFERROR(_xlfn.XLOOKUP(C45,EmployeeTable[Employee ID],EmployeeTable[Employee Name],"Not found"),IFERROR(INDEX(EmployeeTable[Employee Name],MATCH(C45,EmployeeTable[Employee ID],0)),"Not found"))</f>
        <v>Meera Singh</v>
      </c>
      <c r="E45" s="17" t="s">
        <v>316</v>
      </c>
      <c r="F45" s="31" t="n">
        <v>46302.5</v>
      </c>
      <c r="G45" s="31"/>
      <c r="H45" s="15" t="s">
        <v>21</v>
      </c>
      <c r="I45" s="32" t="str">
        <f aca="false">IF(G45="","",(G45-F45)*24)</f>
        <v/>
      </c>
      <c r="J45" s="57" t="str">
        <f aca="false">IF(H45="Completed",IF(I45&lt;=4,"Within SLA","Delayed"),"")</f>
        <v/>
      </c>
      <c r="L45" s="15" t="s">
        <v>395</v>
      </c>
      <c r="M45" s="15" t="s">
        <v>135</v>
      </c>
      <c r="N45" s="17" t="str">
        <f aca="false">IFERROR(_xlfn.XLOOKUP(M45,EmployeeTable[Employee ID],EmployeeTable[Employee Name],"Not found"),IFERROR(INDEX(EmployeeTable[Employee Name],MATCH(M45,EmployeeTable[Employee ID],0)),"Not found"))</f>
        <v>Sana Khan</v>
      </c>
      <c r="O45" s="17" t="s">
        <v>318</v>
      </c>
      <c r="P45" s="30" t="n">
        <v>46284</v>
      </c>
      <c r="Q45" s="30" t="n">
        <v>46284</v>
      </c>
      <c r="R45" s="30"/>
      <c r="S45" s="15" t="s">
        <v>21</v>
      </c>
      <c r="T45" s="33" t="str">
        <f aca="true">IF(S45="Completed",IF(R45&lt;=Q45,"On Time","Delayed"),IF(Q45&lt;TODAY(),"Overdue","Pending"))</f>
        <v>Overdue</v>
      </c>
      <c r="U45" s="16" t="n">
        <f aca="false">IF(S45="Completed",IF(R45&lt;=Q45,1,0),0)</f>
        <v>0</v>
      </c>
    </row>
    <row r="46" customFormat="false" ht="15" hidden="false" customHeight="false" outlineLevel="0" collapsed="false">
      <c r="A46" s="12" t="s">
        <v>396</v>
      </c>
      <c r="B46" s="26" t="n">
        <v>46314</v>
      </c>
      <c r="C46" s="12" t="s">
        <v>129</v>
      </c>
      <c r="D46" s="14" t="str">
        <f aca="false">IFERROR(_xlfn.XLOOKUP(C46,EmployeeTable[Employee ID],EmployeeTable[Employee Name],"Not found"),IFERROR(INDEX(EmployeeTable[Employee Name],MATCH(C46,EmployeeTable[Employee ID],0)),"Not found"))</f>
        <v>Rohan Das</v>
      </c>
      <c r="E46" s="14" t="s">
        <v>321</v>
      </c>
      <c r="F46" s="27" t="n">
        <v>46314.6770833333</v>
      </c>
      <c r="G46" s="27" t="n">
        <v>46314.7291666667</v>
      </c>
      <c r="H46" s="12" t="s">
        <v>44</v>
      </c>
      <c r="I46" s="28" t="n">
        <f aca="false">IF(G46="","",(G46-F46)*24)</f>
        <v>1.24999999953434</v>
      </c>
      <c r="J46" s="60" t="str">
        <f aca="false">IF(H46="Completed",IF(I46&lt;=4,"Within SLA","Delayed"),"")</f>
        <v>Within SLA</v>
      </c>
      <c r="L46" s="12" t="s">
        <v>397</v>
      </c>
      <c r="M46" s="12" t="s">
        <v>117</v>
      </c>
      <c r="N46" s="14" t="str">
        <f aca="false">IFERROR(_xlfn.XLOOKUP(M46,EmployeeTable[Employee ID],EmployeeTable[Employee Name],"Not found"),IFERROR(INDEX(EmployeeTable[Employee Name],MATCH(M46,EmployeeTable[Employee ID],0)),"Not found"))</f>
        <v>Ishaan Gupta</v>
      </c>
      <c r="O46" s="14" t="s">
        <v>324</v>
      </c>
      <c r="P46" s="26" t="n">
        <v>46311</v>
      </c>
      <c r="Q46" s="26" t="n">
        <v>46313</v>
      </c>
      <c r="R46" s="26" t="n">
        <v>46311</v>
      </c>
      <c r="S46" s="12" t="s">
        <v>44</v>
      </c>
      <c r="T46" s="29" t="str">
        <f aca="true">IF(S46="Completed",IF(R46&lt;=Q46,"On Time","Delayed"),IF(Q46&lt;TODAY(),"Overdue","Pending"))</f>
        <v>On Time</v>
      </c>
      <c r="U46" s="13" t="n">
        <f aca="false">IF(S46="Completed",IF(R46&lt;=Q46,1,0),0)</f>
        <v>1</v>
      </c>
    </row>
    <row r="47" customFormat="false" ht="15" hidden="false" customHeight="false" outlineLevel="0" collapsed="false">
      <c r="A47" s="15" t="s">
        <v>398</v>
      </c>
      <c r="B47" s="30" t="n">
        <v>46272</v>
      </c>
      <c r="C47" s="15" t="s">
        <v>145</v>
      </c>
      <c r="D47" s="17" t="str">
        <f aca="false">IFERROR(_xlfn.XLOOKUP(C47,EmployeeTable[Employee ID],EmployeeTable[Employee Name],"Not found"),IFERROR(INDEX(EmployeeTable[Employee Name],MATCH(C47,EmployeeTable[Employee ID],0)),"Not found"))</f>
        <v>Ira Nair</v>
      </c>
      <c r="E47" s="17" t="s">
        <v>296</v>
      </c>
      <c r="F47" s="31" t="n">
        <v>46272.9375</v>
      </c>
      <c r="G47" s="31"/>
      <c r="H47" s="15" t="s">
        <v>21</v>
      </c>
      <c r="I47" s="32" t="str">
        <f aca="false">IF(G47="","",(G47-F47)*24)</f>
        <v/>
      </c>
      <c r="J47" s="57" t="str">
        <f aca="false">IF(H47="Completed",IF(I47&lt;=4,"Within SLA","Delayed"),"")</f>
        <v/>
      </c>
      <c r="L47" s="15" t="s">
        <v>399</v>
      </c>
      <c r="M47" s="15" t="s">
        <v>101</v>
      </c>
      <c r="N47" s="17" t="str">
        <f aca="false">IFERROR(_xlfn.XLOOKUP(M47,EmployeeTable[Employee ID],EmployeeTable[Employee Name],"Not found"),IFERROR(INDEX(EmployeeTable[Employee Name],MATCH(M47,EmployeeTable[Employee ID],0)),"Not found"))</f>
        <v>Diya Verma</v>
      </c>
      <c r="O47" s="17" t="s">
        <v>298</v>
      </c>
      <c r="P47" s="30" t="n">
        <v>46273</v>
      </c>
      <c r="Q47" s="30" t="n">
        <v>46273</v>
      </c>
      <c r="R47" s="30"/>
      <c r="S47" s="15" t="s">
        <v>21</v>
      </c>
      <c r="T47" s="33" t="str">
        <f aca="true">IF(S47="Completed",IF(R47&lt;=Q47,"On Time","Delayed"),IF(Q47&lt;TODAY(),"Overdue","Pending"))</f>
        <v>Overdue</v>
      </c>
      <c r="U47" s="16" t="n">
        <f aca="false">IF(S47="Completed",IF(R47&lt;=Q47,1,0),0)</f>
        <v>0</v>
      </c>
    </row>
    <row r="48" customFormat="false" ht="15" hidden="false" customHeight="false" outlineLevel="0" collapsed="false">
      <c r="A48" s="12" t="s">
        <v>400</v>
      </c>
      <c r="B48" s="26" t="n">
        <v>46272</v>
      </c>
      <c r="C48" s="12" t="s">
        <v>107</v>
      </c>
      <c r="D48" s="14" t="str">
        <f aca="false">IFERROR(_xlfn.XLOOKUP(C48,EmployeeTable[Employee ID],EmployeeTable[Employee Name],"Not found"),IFERROR(INDEX(EmployeeTable[Employee Name],MATCH(C48,EmployeeTable[Employee ID],0)),"Not found"))</f>
        <v>Kabir Patel</v>
      </c>
      <c r="E48" s="14" t="s">
        <v>301</v>
      </c>
      <c r="F48" s="27" t="n">
        <v>46272.875</v>
      </c>
      <c r="G48" s="27"/>
      <c r="H48" s="12" t="s">
        <v>21</v>
      </c>
      <c r="I48" s="28" t="str">
        <f aca="false">IF(G48="","",(G48-F48)*24)</f>
        <v/>
      </c>
      <c r="J48" s="60" t="str">
        <f aca="false">IF(H48="Completed",IF(I48&lt;=4,"Within SLA","Delayed"),"")</f>
        <v/>
      </c>
      <c r="L48" s="12" t="s">
        <v>401</v>
      </c>
      <c r="M48" s="12" t="s">
        <v>140</v>
      </c>
      <c r="N48" s="14" t="str">
        <f aca="false">IFERROR(_xlfn.XLOOKUP(M48,EmployeeTable[Employee ID],EmployeeTable[Employee Name],"Not found"),IFERROR(INDEX(EmployeeTable[Employee Name],MATCH(M48,EmployeeTable[Employee ID],0)),"Not found"))</f>
        <v>Vivaan Joshi</v>
      </c>
      <c r="O48" s="14" t="s">
        <v>303</v>
      </c>
      <c r="P48" s="26" t="n">
        <v>46299</v>
      </c>
      <c r="Q48" s="26" t="n">
        <v>46300</v>
      </c>
      <c r="R48" s="26"/>
      <c r="S48" s="12" t="s">
        <v>21</v>
      </c>
      <c r="T48" s="29" t="str">
        <f aca="true">IF(S48="Completed",IF(R48&lt;=Q48,"On Time","Delayed"),IF(Q48&lt;TODAY(),"Overdue","Pending"))</f>
        <v>Overdue</v>
      </c>
      <c r="U48" s="13" t="n">
        <f aca="false">IF(S48="Completed",IF(R48&lt;=Q48,1,0),0)</f>
        <v>0</v>
      </c>
    </row>
    <row r="49" customFormat="false" ht="15" hidden="false" customHeight="false" outlineLevel="0" collapsed="false">
      <c r="A49" s="15" t="s">
        <v>402</v>
      </c>
      <c r="B49" s="30" t="n">
        <v>46295</v>
      </c>
      <c r="C49" s="15" t="s">
        <v>123</v>
      </c>
      <c r="D49" s="17" t="str">
        <f aca="false">IFERROR(_xlfn.XLOOKUP(C49,EmployeeTable[Employee ID],EmployeeTable[Employee Name],"Not found"),IFERROR(INDEX(EmployeeTable[Employee Name],MATCH(C49,EmployeeTable[Employee ID],0)),"Not found"))</f>
        <v>Ananya Rao</v>
      </c>
      <c r="E49" s="17" t="s">
        <v>306</v>
      </c>
      <c r="F49" s="31" t="n">
        <v>46295.6875</v>
      </c>
      <c r="G49" s="31"/>
      <c r="H49" s="15" t="s">
        <v>21</v>
      </c>
      <c r="I49" s="32" t="str">
        <f aca="false">IF(G49="","",(G49-F49)*24)</f>
        <v/>
      </c>
      <c r="J49" s="57" t="str">
        <f aca="false">IF(H49="Completed",IF(I49&lt;=4,"Within SLA","Delayed"),"")</f>
        <v/>
      </c>
      <c r="L49" s="15" t="s">
        <v>403</v>
      </c>
      <c r="M49" s="15" t="s">
        <v>123</v>
      </c>
      <c r="N49" s="17" t="str">
        <f aca="false">IFERROR(_xlfn.XLOOKUP(M49,EmployeeTable[Employee ID],EmployeeTable[Employee Name],"Not found"),IFERROR(INDEX(EmployeeTable[Employee Name],MATCH(M49,EmployeeTable[Employee ID],0)),"Not found"))</f>
        <v>Ananya Rao</v>
      </c>
      <c r="O49" s="17" t="s">
        <v>308</v>
      </c>
      <c r="P49" s="30" t="n">
        <v>46275</v>
      </c>
      <c r="Q49" s="30" t="n">
        <v>46276</v>
      </c>
      <c r="R49" s="30" t="n">
        <v>46276</v>
      </c>
      <c r="S49" s="15" t="s">
        <v>44</v>
      </c>
      <c r="T49" s="33" t="str">
        <f aca="true">IF(S49="Completed",IF(R49&lt;=Q49,"On Time","Delayed"),IF(Q49&lt;TODAY(),"Overdue","Pending"))</f>
        <v>On Time</v>
      </c>
      <c r="U49" s="16" t="n">
        <f aca="false">IF(S49="Completed",IF(R49&lt;=Q49,1,0),0)</f>
        <v>1</v>
      </c>
    </row>
    <row r="50" customFormat="false" ht="15" hidden="false" customHeight="false" outlineLevel="0" collapsed="false">
      <c r="A50" s="12" t="s">
        <v>404</v>
      </c>
      <c r="B50" s="26" t="n">
        <v>46294</v>
      </c>
      <c r="C50" s="12" t="s">
        <v>140</v>
      </c>
      <c r="D50" s="14" t="str">
        <f aca="false">IFERROR(_xlfn.XLOOKUP(C50,EmployeeTable[Employee ID],EmployeeTable[Employee Name],"Not found"),IFERROR(INDEX(EmployeeTable[Employee Name],MATCH(C50,EmployeeTable[Employee ID],0)),"Not found"))</f>
        <v>Vivaan Joshi</v>
      </c>
      <c r="E50" s="14" t="s">
        <v>311</v>
      </c>
      <c r="F50" s="27" t="n">
        <v>46294.6041666667</v>
      </c>
      <c r="G50" s="27" t="n">
        <v>46294.6875</v>
      </c>
      <c r="H50" s="12" t="s">
        <v>44</v>
      </c>
      <c r="I50" s="28" t="n">
        <f aca="false">IF(G50="","",(G50-F50)*24)</f>
        <v>2.00000000023283</v>
      </c>
      <c r="J50" s="60" t="str">
        <f aca="false">IF(H50="Completed",IF(I50&lt;=4,"Within SLA","Delayed"),"")</f>
        <v>Within SLA</v>
      </c>
      <c r="L50" s="12" t="s">
        <v>405</v>
      </c>
      <c r="M50" s="12" t="s">
        <v>107</v>
      </c>
      <c r="N50" s="14" t="str">
        <f aca="false">IFERROR(_xlfn.XLOOKUP(M50,EmployeeTable[Employee ID],EmployeeTable[Employee Name],"Not found"),IFERROR(INDEX(EmployeeTable[Employee Name],MATCH(M50,EmployeeTable[Employee ID],0)),"Not found"))</f>
        <v>Kabir Patel</v>
      </c>
      <c r="O50" s="14" t="s">
        <v>313</v>
      </c>
      <c r="P50" s="26" t="n">
        <v>46272</v>
      </c>
      <c r="Q50" s="26" t="n">
        <v>46272</v>
      </c>
      <c r="R50" s="26" t="n">
        <v>46271</v>
      </c>
      <c r="S50" s="12" t="s">
        <v>44</v>
      </c>
      <c r="T50" s="29" t="str">
        <f aca="true">IF(S50="Completed",IF(R50&lt;=Q50,"On Time","Delayed"),IF(Q50&lt;TODAY(),"Overdue","Pending"))</f>
        <v>On Time</v>
      </c>
      <c r="U50" s="13" t="n">
        <f aca="false">IF(S50="Completed",IF(R50&lt;=Q50,1,0),0)</f>
        <v>1</v>
      </c>
    </row>
    <row r="51" customFormat="false" ht="15" hidden="false" customHeight="false" outlineLevel="0" collapsed="false">
      <c r="A51" s="15" t="s">
        <v>406</v>
      </c>
      <c r="B51" s="30" t="n">
        <v>46288</v>
      </c>
      <c r="C51" s="15" t="s">
        <v>101</v>
      </c>
      <c r="D51" s="17" t="str">
        <f aca="false">IFERROR(_xlfn.XLOOKUP(C51,EmployeeTable[Employee ID],EmployeeTable[Employee Name],"Not found"),IFERROR(INDEX(EmployeeTable[Employee Name],MATCH(C51,EmployeeTable[Employee ID],0)),"Not found"))</f>
        <v>Diya Verma</v>
      </c>
      <c r="E51" s="17" t="s">
        <v>316</v>
      </c>
      <c r="F51" s="31" t="n">
        <v>46288.78125</v>
      </c>
      <c r="G51" s="31"/>
      <c r="H51" s="15" t="s">
        <v>21</v>
      </c>
      <c r="I51" s="32" t="str">
        <f aca="false">IF(G51="","",(G51-F51)*24)</f>
        <v/>
      </c>
      <c r="J51" s="57" t="str">
        <f aca="false">IF(H51="Completed",IF(I51&lt;=4,"Within SLA","Delayed"),"")</f>
        <v/>
      </c>
      <c r="L51" s="15" t="s">
        <v>407</v>
      </c>
      <c r="M51" s="15" t="s">
        <v>145</v>
      </c>
      <c r="N51" s="17" t="str">
        <f aca="false">IFERROR(_xlfn.XLOOKUP(M51,EmployeeTable[Employee ID],EmployeeTable[Employee Name],"Not found"),IFERROR(INDEX(EmployeeTable[Employee Name],MATCH(M51,EmployeeTable[Employee ID],0)),"Not found"))</f>
        <v>Ira Nair</v>
      </c>
      <c r="O51" s="17" t="s">
        <v>318</v>
      </c>
      <c r="P51" s="30" t="n">
        <v>46285</v>
      </c>
      <c r="Q51" s="30" t="n">
        <v>46290</v>
      </c>
      <c r="R51" s="30" t="n">
        <v>46290</v>
      </c>
      <c r="S51" s="15" t="s">
        <v>44</v>
      </c>
      <c r="T51" s="33" t="str">
        <f aca="true">IF(S51="Completed",IF(R51&lt;=Q51,"On Time","Delayed"),IF(Q51&lt;TODAY(),"Overdue","Pending"))</f>
        <v>On Time</v>
      </c>
      <c r="U51" s="16" t="n">
        <f aca="false">IF(S51="Completed",IF(R51&lt;=Q51,1,0),0)</f>
        <v>1</v>
      </c>
    </row>
    <row r="52" customFormat="false" ht="15" hidden="false" customHeight="false" outlineLevel="0" collapsed="false">
      <c r="A52" s="12" t="s">
        <v>408</v>
      </c>
      <c r="B52" s="26" t="n">
        <v>46257</v>
      </c>
      <c r="C52" s="12" t="s">
        <v>117</v>
      </c>
      <c r="D52" s="14" t="str">
        <f aca="false">IFERROR(_xlfn.XLOOKUP(C52,EmployeeTable[Employee ID],EmployeeTable[Employee Name],"Not found"),IFERROR(INDEX(EmployeeTable[Employee Name],MATCH(C52,EmployeeTable[Employee ID],0)),"Not found"))</f>
        <v>Ishaan Gupta</v>
      </c>
      <c r="E52" s="14" t="s">
        <v>321</v>
      </c>
      <c r="F52" s="27" t="n">
        <v>46257.4375</v>
      </c>
      <c r="G52" s="27" t="n">
        <v>46257.9791666667</v>
      </c>
      <c r="H52" s="12" t="s">
        <v>44</v>
      </c>
      <c r="I52" s="28" t="n">
        <f aca="false">IF(G52="","",(G52-F52)*24)</f>
        <v>12.9999999997672</v>
      </c>
      <c r="J52" s="60" t="str">
        <f aca="false">IF(H52="Completed",IF(I52&lt;=4,"Within SLA","Delayed"),"")</f>
        <v>Delayed</v>
      </c>
      <c r="L52" s="12" t="s">
        <v>409</v>
      </c>
      <c r="M52" s="12" t="s">
        <v>129</v>
      </c>
      <c r="N52" s="14" t="str">
        <f aca="false">IFERROR(_xlfn.XLOOKUP(M52,EmployeeTable[Employee ID],EmployeeTable[Employee Name],"Not found"),IFERROR(INDEX(EmployeeTable[Employee Name],MATCH(M52,EmployeeTable[Employee ID],0)),"Not found"))</f>
        <v>Rohan Das</v>
      </c>
      <c r="O52" s="14" t="s">
        <v>324</v>
      </c>
      <c r="P52" s="26" t="n">
        <v>46304</v>
      </c>
      <c r="Q52" s="26" t="n">
        <v>46308</v>
      </c>
      <c r="R52" s="26" t="n">
        <v>46310</v>
      </c>
      <c r="S52" s="12" t="s">
        <v>44</v>
      </c>
      <c r="T52" s="29" t="str">
        <f aca="true">IF(S52="Completed",IF(R52&lt;=Q52,"On Time","Delayed"),IF(Q52&lt;TODAY(),"Overdue","Pending"))</f>
        <v>Delayed</v>
      </c>
      <c r="U52" s="13" t="n">
        <f aca="false">IF(S52="Completed",IF(R52&lt;=Q52,1,0),0)</f>
        <v>0</v>
      </c>
    </row>
    <row r="53" customFormat="false" ht="15" hidden="false" customHeight="false" outlineLevel="0" collapsed="false">
      <c r="A53" s="15" t="s">
        <v>410</v>
      </c>
      <c r="B53" s="30" t="n">
        <v>46314</v>
      </c>
      <c r="C53" s="15" t="s">
        <v>135</v>
      </c>
      <c r="D53" s="17" t="str">
        <f aca="false">IFERROR(_xlfn.XLOOKUP(C53,EmployeeTable[Employee ID],EmployeeTable[Employee Name],"Not found"),IFERROR(INDEX(EmployeeTable[Employee Name],MATCH(C53,EmployeeTable[Employee ID],0)),"Not found"))</f>
        <v>Sana Khan</v>
      </c>
      <c r="E53" s="17" t="s">
        <v>296</v>
      </c>
      <c r="F53" s="31" t="n">
        <v>46314.5208333333</v>
      </c>
      <c r="G53" s="31" t="n">
        <v>46315.0625</v>
      </c>
      <c r="H53" s="15" t="s">
        <v>44</v>
      </c>
      <c r="I53" s="32" t="n">
        <f aca="false">IF(G53="","",(G53-F53)*24)</f>
        <v>12.9999999997672</v>
      </c>
      <c r="J53" s="57" t="str">
        <f aca="false">IF(H53="Completed",IF(I53&lt;=4,"Within SLA","Delayed"),"")</f>
        <v>Delayed</v>
      </c>
      <c r="L53" s="15" t="s">
        <v>411</v>
      </c>
      <c r="M53" s="15" t="s">
        <v>112</v>
      </c>
      <c r="N53" s="17" t="str">
        <f aca="false">IFERROR(_xlfn.XLOOKUP(M53,EmployeeTable[Employee ID],EmployeeTable[Employee Name],"Not found"),IFERROR(INDEX(EmployeeTable[Employee Name],MATCH(M53,EmployeeTable[Employee ID],0)),"Not found"))</f>
        <v>Meera Singh</v>
      </c>
      <c r="O53" s="17" t="s">
        <v>298</v>
      </c>
      <c r="P53" s="30" t="n">
        <v>46307</v>
      </c>
      <c r="Q53" s="30" t="n">
        <v>46308</v>
      </c>
      <c r="R53" s="30"/>
      <c r="S53" s="15" t="s">
        <v>322</v>
      </c>
      <c r="T53" s="33" t="str">
        <f aca="true">IF(S53="Completed",IF(R53&lt;=Q53,"On Time","Delayed"),IF(Q53&lt;TODAY(),"Overdue","Pending"))</f>
        <v>Overdue</v>
      </c>
      <c r="U53" s="16" t="n">
        <f aca="false">IF(S53="Completed",IF(R53&lt;=Q53,1,0),0)</f>
        <v>0</v>
      </c>
    </row>
    <row r="54" customFormat="false" ht="15" hidden="false" customHeight="false" outlineLevel="0" collapsed="false">
      <c r="A54" s="12" t="s">
        <v>412</v>
      </c>
      <c r="B54" s="26" t="n">
        <v>46277</v>
      </c>
      <c r="C54" s="12" t="s">
        <v>95</v>
      </c>
      <c r="D54" s="14" t="str">
        <f aca="false">IFERROR(_xlfn.XLOOKUP(C54,EmployeeTable[Employee ID],EmployeeTable[Employee Name],"Not found"),IFERROR(INDEX(EmployeeTable[Employee Name],MATCH(C54,EmployeeTable[Employee ID],0)),"Not found"))</f>
        <v>Aarav Sharma</v>
      </c>
      <c r="E54" s="14" t="s">
        <v>301</v>
      </c>
      <c r="F54" s="27" t="n">
        <v>46277.7291666667</v>
      </c>
      <c r="G54" s="27" t="n">
        <v>46277.9375</v>
      </c>
      <c r="H54" s="12" t="s">
        <v>44</v>
      </c>
      <c r="I54" s="28" t="n">
        <f aca="false">IF(G54="","",(G54-F54)*24)</f>
        <v>5.00000000023283</v>
      </c>
      <c r="J54" s="60" t="str">
        <f aca="false">IF(H54="Completed",IF(I54&lt;=4,"Within SLA","Delayed"),"")</f>
        <v>Delayed</v>
      </c>
      <c r="L54" s="12" t="s">
        <v>413</v>
      </c>
      <c r="M54" s="12" t="s">
        <v>95</v>
      </c>
      <c r="N54" s="14" t="str">
        <f aca="false">IFERROR(_xlfn.XLOOKUP(M54,EmployeeTable[Employee ID],EmployeeTable[Employee Name],"Not found"),IFERROR(INDEX(EmployeeTable[Employee Name],MATCH(M54,EmployeeTable[Employee ID],0)),"Not found"))</f>
        <v>Aarav Sharma</v>
      </c>
      <c r="O54" s="14" t="s">
        <v>303</v>
      </c>
      <c r="P54" s="26" t="n">
        <v>46308</v>
      </c>
      <c r="Q54" s="26" t="n">
        <v>46312</v>
      </c>
      <c r="R54" s="26" t="n">
        <v>46312</v>
      </c>
      <c r="S54" s="12" t="s">
        <v>44</v>
      </c>
      <c r="T54" s="29" t="str">
        <f aca="true">IF(S54="Completed",IF(R54&lt;=Q54,"On Time","Delayed"),IF(Q54&lt;TODAY(),"Overdue","Pending"))</f>
        <v>On Time</v>
      </c>
      <c r="U54" s="13" t="n">
        <f aca="false">IF(S54="Completed",IF(R54&lt;=Q54,1,0),0)</f>
        <v>1</v>
      </c>
    </row>
    <row r="55" customFormat="false" ht="15" hidden="false" customHeight="fals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L55" s="15" t="s">
        <v>414</v>
      </c>
      <c r="M55" s="15" t="s">
        <v>135</v>
      </c>
      <c r="N55" s="17" t="str">
        <f aca="false">IFERROR(_xlfn.XLOOKUP(M55,EmployeeTable[Employee ID],EmployeeTable[Employee Name],"Not found"),IFERROR(INDEX(EmployeeTable[Employee Name],MATCH(M55,EmployeeTable[Employee ID],0)),"Not found"))</f>
        <v>Sana Khan</v>
      </c>
      <c r="O55" s="17" t="s">
        <v>308</v>
      </c>
      <c r="P55" s="30" t="n">
        <v>46278</v>
      </c>
      <c r="Q55" s="30" t="n">
        <v>46283</v>
      </c>
      <c r="R55" s="30"/>
      <c r="S55" s="15" t="s">
        <v>322</v>
      </c>
      <c r="T55" s="33" t="str">
        <f aca="true">IF(S55="Completed",IF(R55&lt;=Q55,"On Time","Delayed"),IF(Q55&lt;TODAY(),"Overdue","Pending"))</f>
        <v>Overdue</v>
      </c>
      <c r="U55" s="16" t="n">
        <f aca="false">IF(S55="Completed",IF(R55&lt;=Q55,1,0),0)</f>
        <v>0</v>
      </c>
    </row>
    <row r="56" customFormat="false" ht="15" hidden="false" customHeight="fals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L56" s="12" t="s">
        <v>415</v>
      </c>
      <c r="M56" s="12" t="s">
        <v>117</v>
      </c>
      <c r="N56" s="14" t="str">
        <f aca="false">IFERROR(_xlfn.XLOOKUP(M56,EmployeeTable[Employee ID],EmployeeTable[Employee Name],"Not found"),IFERROR(INDEX(EmployeeTable[Employee Name],MATCH(M56,EmployeeTable[Employee ID],0)),"Not found"))</f>
        <v>Ishaan Gupta</v>
      </c>
      <c r="O56" s="14" t="s">
        <v>313</v>
      </c>
      <c r="P56" s="26" t="n">
        <v>46290</v>
      </c>
      <c r="Q56" s="26" t="n">
        <v>46293</v>
      </c>
      <c r="R56" s="26"/>
      <c r="S56" s="12" t="s">
        <v>322</v>
      </c>
      <c r="T56" s="29" t="str">
        <f aca="true">IF(S56="Completed",IF(R56&lt;=Q56,"On Time","Delayed"),IF(Q56&lt;TODAY(),"Overdue","Pending"))</f>
        <v>Overdue</v>
      </c>
      <c r="U56" s="13" t="n">
        <f aca="false">IF(S56="Completed",IF(R56&lt;=Q56,1,0),0)</f>
        <v>0</v>
      </c>
    </row>
    <row r="57" customFormat="false" ht="15" hidden="false" customHeight="fals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L57" s="15" t="s">
        <v>416</v>
      </c>
      <c r="M57" s="15" t="s">
        <v>101</v>
      </c>
      <c r="N57" s="17" t="str">
        <f aca="false">IFERROR(_xlfn.XLOOKUP(M57,EmployeeTable[Employee ID],EmployeeTable[Employee Name],"Not found"),IFERROR(INDEX(EmployeeTable[Employee Name],MATCH(M57,EmployeeTable[Employee ID],0)),"Not found"))</f>
        <v>Diya Verma</v>
      </c>
      <c r="O57" s="17" t="s">
        <v>318</v>
      </c>
      <c r="P57" s="30" t="n">
        <v>46302</v>
      </c>
      <c r="Q57" s="30" t="n">
        <v>46302</v>
      </c>
      <c r="R57" s="30" t="n">
        <v>46304</v>
      </c>
      <c r="S57" s="15" t="s">
        <v>44</v>
      </c>
      <c r="T57" s="33" t="str">
        <f aca="true">IF(S57="Completed",IF(R57&lt;=Q57,"On Time","Delayed"),IF(Q57&lt;TODAY(),"Overdue","Pending"))</f>
        <v>Delayed</v>
      </c>
      <c r="U57" s="16" t="n">
        <f aca="false">IF(S57="Completed",IF(R57&lt;=Q57,1,0),0)</f>
        <v>0</v>
      </c>
    </row>
    <row r="58" customFormat="false" ht="15" hidden="false" customHeight="false" outlineLevel="0" collapsed="false">
      <c r="A58" s="61"/>
      <c r="B58" s="34"/>
      <c r="C58" s="34"/>
      <c r="D58" s="34"/>
      <c r="E58" s="34"/>
      <c r="F58" s="34"/>
      <c r="G58" s="34"/>
      <c r="H58" s="34"/>
      <c r="I58" s="34"/>
      <c r="J58" s="34"/>
      <c r="L58" s="12" t="s">
        <v>417</v>
      </c>
      <c r="M58" s="12" t="s">
        <v>140</v>
      </c>
      <c r="N58" s="14" t="str">
        <f aca="false">IFERROR(_xlfn.XLOOKUP(M58,EmployeeTable[Employee ID],EmployeeTable[Employee Name],"Not found"),IFERROR(INDEX(EmployeeTable[Employee Name],MATCH(M58,EmployeeTable[Employee ID],0)),"Not found"))</f>
        <v>Vivaan Joshi</v>
      </c>
      <c r="O58" s="14" t="s">
        <v>324</v>
      </c>
      <c r="P58" s="26" t="n">
        <v>46299</v>
      </c>
      <c r="Q58" s="26" t="n">
        <v>46299</v>
      </c>
      <c r="R58" s="26"/>
      <c r="S58" s="12" t="s">
        <v>21</v>
      </c>
      <c r="T58" s="29" t="str">
        <f aca="true">IF(S58="Completed",IF(R58&lt;=Q58,"On Time","Delayed"),IF(Q58&lt;TODAY(),"Overdue","Pending"))</f>
        <v>Overdue</v>
      </c>
      <c r="U58" s="13" t="n">
        <f aca="false">IF(S58="Completed",IF(R58&lt;=Q58,1,0),0)</f>
        <v>0</v>
      </c>
    </row>
    <row r="59" customFormat="false" ht="15" hidden="false" customHeight="fals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L59" s="15" t="s">
        <v>418</v>
      </c>
      <c r="M59" s="15" t="s">
        <v>123</v>
      </c>
      <c r="N59" s="17" t="str">
        <f aca="false">IFERROR(_xlfn.XLOOKUP(M59,EmployeeTable[Employee ID],EmployeeTable[Employee Name],"Not found"),IFERROR(INDEX(EmployeeTable[Employee Name],MATCH(M59,EmployeeTable[Employee ID],0)),"Not found"))</f>
        <v>Ananya Rao</v>
      </c>
      <c r="O59" s="17" t="s">
        <v>298</v>
      </c>
      <c r="P59" s="30" t="n">
        <v>46295</v>
      </c>
      <c r="Q59" s="30" t="n">
        <v>46300</v>
      </c>
      <c r="R59" s="30" t="n">
        <v>46298</v>
      </c>
      <c r="S59" s="15" t="s">
        <v>44</v>
      </c>
      <c r="T59" s="33" t="str">
        <f aca="true">IF(S59="Completed",IF(R59&lt;=Q59,"On Time","Delayed"),IF(Q59&lt;TODAY(),"Overdue","Pending"))</f>
        <v>On Time</v>
      </c>
      <c r="U59" s="16" t="n">
        <f aca="false">IF(S59="Completed",IF(R59&lt;=Q59,1,0),0)</f>
        <v>1</v>
      </c>
    </row>
    <row r="60" customFormat="false" ht="15" hidden="false" customHeight="fals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L60" s="12" t="s">
        <v>419</v>
      </c>
      <c r="M60" s="12" t="s">
        <v>107</v>
      </c>
      <c r="N60" s="14" t="str">
        <f aca="false">IFERROR(_xlfn.XLOOKUP(M60,EmployeeTable[Employee ID],EmployeeTable[Employee Name],"Not found"),IFERROR(INDEX(EmployeeTable[Employee Name],MATCH(M60,EmployeeTable[Employee ID],0)),"Not found"))</f>
        <v>Kabir Patel</v>
      </c>
      <c r="O60" s="14" t="s">
        <v>303</v>
      </c>
      <c r="P60" s="26" t="n">
        <v>46278</v>
      </c>
      <c r="Q60" s="26" t="n">
        <v>46278</v>
      </c>
      <c r="R60" s="26" t="n">
        <v>46278</v>
      </c>
      <c r="S60" s="12" t="s">
        <v>44</v>
      </c>
      <c r="T60" s="29" t="str">
        <f aca="true">IF(S60="Completed",IF(R60&lt;=Q60,"On Time","Delayed"),IF(Q60&lt;TODAY(),"Overdue","Pending"))</f>
        <v>On Time</v>
      </c>
      <c r="U60" s="13" t="n">
        <f aca="false">IF(S60="Completed",IF(R60&lt;=Q60,1,0),0)</f>
        <v>1</v>
      </c>
    </row>
    <row r="61" customFormat="false" ht="15" hidden="false" customHeight="false" outlineLevel="0" collapsed="false">
      <c r="A61" s="34"/>
      <c r="B61" s="34"/>
      <c r="C61" s="34"/>
      <c r="D61" s="34"/>
      <c r="E61" s="34"/>
      <c r="F61" s="34"/>
      <c r="G61" s="34"/>
      <c r="H61" s="34"/>
      <c r="I61" s="34"/>
      <c r="J61" s="34"/>
      <c r="L61" s="15" t="s">
        <v>420</v>
      </c>
      <c r="M61" s="15" t="s">
        <v>145</v>
      </c>
      <c r="N61" s="17" t="str">
        <f aca="false">IFERROR(_xlfn.XLOOKUP(M61,EmployeeTable[Employee ID],EmployeeTable[Employee Name],"Not found"),IFERROR(INDEX(EmployeeTable[Employee Name],MATCH(M61,EmployeeTable[Employee ID],0)),"Not found"))</f>
        <v>Ira Nair</v>
      </c>
      <c r="O61" s="17" t="s">
        <v>308</v>
      </c>
      <c r="P61" s="30" t="n">
        <v>46272</v>
      </c>
      <c r="Q61" s="30" t="n">
        <v>46274</v>
      </c>
      <c r="R61" s="30" t="n">
        <v>46276</v>
      </c>
      <c r="S61" s="15" t="s">
        <v>44</v>
      </c>
      <c r="T61" s="33" t="str">
        <f aca="true">IF(S61="Completed",IF(R61&lt;=Q61,"On Time","Delayed"),IF(Q61&lt;TODAY(),"Overdue","Pending"))</f>
        <v>Delayed</v>
      </c>
      <c r="U61" s="16" t="n">
        <f aca="false">IF(S61="Completed",IF(R61&lt;=Q61,1,0),0)</f>
        <v>0</v>
      </c>
    </row>
    <row r="62" customFormat="false" ht="15" hidden="false" customHeight="fals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L62" s="12" t="s">
        <v>421</v>
      </c>
      <c r="M62" s="12" t="s">
        <v>129</v>
      </c>
      <c r="N62" s="14" t="str">
        <f aca="false">IFERROR(_xlfn.XLOOKUP(M62,EmployeeTable[Employee ID],EmployeeTable[Employee Name],"Not found"),IFERROR(INDEX(EmployeeTable[Employee Name],MATCH(M62,EmployeeTable[Employee ID],0)),"Not found"))</f>
        <v>Rohan Das</v>
      </c>
      <c r="O62" s="14" t="s">
        <v>313</v>
      </c>
      <c r="P62" s="26" t="n">
        <v>46293</v>
      </c>
      <c r="Q62" s="26" t="n">
        <v>46293</v>
      </c>
      <c r="R62" s="26"/>
      <c r="S62" s="12" t="s">
        <v>21</v>
      </c>
      <c r="T62" s="29" t="str">
        <f aca="true">IF(S62="Completed",IF(R62&lt;=Q62,"On Time","Delayed"),IF(Q62&lt;TODAY(),"Overdue","Pending"))</f>
        <v>Overdue</v>
      </c>
      <c r="U62" s="13" t="n">
        <f aca="false">IF(S62="Completed",IF(R62&lt;=Q62,1,0),0)</f>
        <v>0</v>
      </c>
    </row>
    <row r="63" customFormat="false" ht="15" hidden="false" customHeight="false" outlineLevel="0" collapsed="false">
      <c r="L63" s="15" t="s">
        <v>422</v>
      </c>
      <c r="M63" s="15" t="s">
        <v>112</v>
      </c>
      <c r="N63" s="17" t="str">
        <f aca="false">IFERROR(_xlfn.XLOOKUP(M63,EmployeeTable[Employee ID],EmployeeTable[Employee Name],"Not found"),IFERROR(INDEX(EmployeeTable[Employee Name],MATCH(M63,EmployeeTable[Employee ID],0)),"Not found"))</f>
        <v>Meera Singh</v>
      </c>
      <c r="O63" s="17" t="s">
        <v>318</v>
      </c>
      <c r="P63" s="30" t="n">
        <v>46283</v>
      </c>
      <c r="Q63" s="30" t="n">
        <v>46283</v>
      </c>
      <c r="R63" s="30" t="n">
        <v>46283</v>
      </c>
      <c r="S63" s="15" t="s">
        <v>44</v>
      </c>
      <c r="T63" s="33" t="str">
        <f aca="true">IF(S63="Completed",IF(R63&lt;=Q63,"On Time","Delayed"),IF(Q63&lt;TODAY(),"Overdue","Pending"))</f>
        <v>On Time</v>
      </c>
      <c r="U63" s="16" t="n">
        <f aca="false">IF(S63="Completed",IF(R63&lt;=Q63,1,0),0)</f>
        <v>1</v>
      </c>
    </row>
    <row r="64" customFormat="false" ht="15" hidden="false" customHeight="false" outlineLevel="0" collapsed="false">
      <c r="L64" s="12" t="s">
        <v>423</v>
      </c>
      <c r="M64" s="12" t="s">
        <v>95</v>
      </c>
      <c r="N64" s="14" t="str">
        <f aca="false">IFERROR(_xlfn.XLOOKUP(M64,EmployeeTable[Employee ID],EmployeeTable[Employee Name],"Not found"),IFERROR(INDEX(EmployeeTable[Employee Name],MATCH(M64,EmployeeTable[Employee ID],0)),"Not found"))</f>
        <v>Aarav Sharma</v>
      </c>
      <c r="O64" s="14" t="s">
        <v>324</v>
      </c>
      <c r="P64" s="26" t="n">
        <v>46274</v>
      </c>
      <c r="Q64" s="26" t="n">
        <v>46277</v>
      </c>
      <c r="R64" s="26"/>
      <c r="S64" s="12" t="s">
        <v>21</v>
      </c>
      <c r="T64" s="29" t="str">
        <f aca="true">IF(S64="Completed",IF(R64&lt;=Q64,"On Time","Delayed"),IF(Q64&lt;TODAY(),"Overdue","Pending"))</f>
        <v>Overdue</v>
      </c>
      <c r="U64" s="13" t="n">
        <f aca="false">IF(S64="Completed",IF(R64&lt;=Q64,1,0),0)</f>
        <v>0</v>
      </c>
    </row>
    <row r="65" customFormat="false" ht="15" hidden="false" customHeight="false" outlineLevel="0" collapsed="false">
      <c r="L65" s="15" t="s">
        <v>424</v>
      </c>
      <c r="M65" s="15" t="s">
        <v>135</v>
      </c>
      <c r="N65" s="17" t="str">
        <f aca="false">IFERROR(_xlfn.XLOOKUP(M65,EmployeeTable[Employee ID],EmployeeTable[Employee Name],"Not found"),IFERROR(INDEX(EmployeeTable[Employee Name],MATCH(M65,EmployeeTable[Employee ID],0)),"Not found"))</f>
        <v>Sana Khan</v>
      </c>
      <c r="O65" s="17" t="s">
        <v>298</v>
      </c>
      <c r="P65" s="30" t="n">
        <v>46287</v>
      </c>
      <c r="Q65" s="30" t="n">
        <v>46288</v>
      </c>
      <c r="R65" s="30"/>
      <c r="S65" s="15" t="s">
        <v>21</v>
      </c>
      <c r="T65" s="33" t="str">
        <f aca="true">IF(S65="Completed",IF(R65&lt;=Q65,"On Time","Delayed"),IF(Q65&lt;TODAY(),"Overdue","Pending"))</f>
        <v>Overdue</v>
      </c>
      <c r="U65" s="16" t="n">
        <f aca="false">IF(S65="Completed",IF(R65&lt;=Q65,1,0),0)</f>
        <v>0</v>
      </c>
    </row>
    <row r="66" customFormat="false" ht="15" hidden="false" customHeight="false" outlineLevel="0" collapsed="false">
      <c r="L66" s="12" t="s">
        <v>425</v>
      </c>
      <c r="M66" s="12" t="s">
        <v>117</v>
      </c>
      <c r="N66" s="14" t="str">
        <f aca="false">IFERROR(_xlfn.XLOOKUP(M66,EmployeeTable[Employee ID],EmployeeTable[Employee Name],"Not found"),IFERROR(INDEX(EmployeeTable[Employee Name],MATCH(M66,EmployeeTable[Employee ID],0)),"Not found"))</f>
        <v>Ishaan Gupta</v>
      </c>
      <c r="O66" s="14" t="s">
        <v>303</v>
      </c>
      <c r="P66" s="26" t="n">
        <v>46273</v>
      </c>
      <c r="Q66" s="26" t="n">
        <v>46275</v>
      </c>
      <c r="R66" s="26" t="n">
        <v>46276</v>
      </c>
      <c r="S66" s="12" t="s">
        <v>44</v>
      </c>
      <c r="T66" s="29" t="str">
        <f aca="true">IF(S66="Completed",IF(R66&lt;=Q66,"On Time","Delayed"),IF(Q66&lt;TODAY(),"Overdue","Pending"))</f>
        <v>Delayed</v>
      </c>
      <c r="U66" s="13" t="n">
        <f aca="false">IF(S66="Completed",IF(R66&lt;=Q66,1,0),0)</f>
        <v>0</v>
      </c>
    </row>
    <row r="67" customFormat="false" ht="15" hidden="false" customHeight="false" outlineLevel="0" collapsed="false">
      <c r="L67" s="15" t="s">
        <v>426</v>
      </c>
      <c r="M67" s="15" t="s">
        <v>101</v>
      </c>
      <c r="N67" s="17" t="str">
        <f aca="false">IFERROR(_xlfn.XLOOKUP(M67,EmployeeTable[Employee ID],EmployeeTable[Employee Name],"Not found"),IFERROR(INDEX(EmployeeTable[Employee Name],MATCH(M67,EmployeeTable[Employee ID],0)),"Not found"))</f>
        <v>Diya Verma</v>
      </c>
      <c r="O67" s="17" t="s">
        <v>308</v>
      </c>
      <c r="P67" s="30" t="n">
        <v>46284</v>
      </c>
      <c r="Q67" s="30" t="n">
        <v>46287</v>
      </c>
      <c r="R67" s="30" t="n">
        <v>46289</v>
      </c>
      <c r="S67" s="15" t="s">
        <v>44</v>
      </c>
      <c r="T67" s="33" t="str">
        <f aca="true">IF(S67="Completed",IF(R67&lt;=Q67,"On Time","Delayed"),IF(Q67&lt;TODAY(),"Overdue","Pending"))</f>
        <v>Delayed</v>
      </c>
      <c r="U67" s="16" t="n">
        <f aca="false">IF(S67="Completed",IF(R67&lt;=Q67,1,0),0)</f>
        <v>0</v>
      </c>
    </row>
    <row r="68" customFormat="false" ht="15" hidden="false" customHeight="false" outlineLevel="0" collapsed="false">
      <c r="L68" s="12" t="s">
        <v>427</v>
      </c>
      <c r="M68" s="12" t="s">
        <v>140</v>
      </c>
      <c r="N68" s="14" t="str">
        <f aca="false">IFERROR(_xlfn.XLOOKUP(M68,EmployeeTable[Employee ID],EmployeeTable[Employee Name],"Not found"),IFERROR(INDEX(EmployeeTable[Employee Name],MATCH(M68,EmployeeTable[Employee ID],0)),"Not found"))</f>
        <v>Vivaan Joshi</v>
      </c>
      <c r="O68" s="14" t="s">
        <v>313</v>
      </c>
      <c r="P68" s="26" t="n">
        <v>46277</v>
      </c>
      <c r="Q68" s="26" t="n">
        <v>46279</v>
      </c>
      <c r="R68" s="26" t="n">
        <v>46278</v>
      </c>
      <c r="S68" s="12" t="s">
        <v>44</v>
      </c>
      <c r="T68" s="29" t="str">
        <f aca="true">IF(S68="Completed",IF(R68&lt;=Q68,"On Time","Delayed"),IF(Q68&lt;TODAY(),"Overdue","Pending"))</f>
        <v>On Time</v>
      </c>
      <c r="U68" s="13" t="n">
        <f aca="false">IF(S68="Completed",IF(R68&lt;=Q68,1,0),0)</f>
        <v>1</v>
      </c>
    </row>
    <row r="69" customFormat="false" ht="15" hidden="false" customHeight="false" outlineLevel="0" collapsed="false">
      <c r="L69" s="15" t="s">
        <v>428</v>
      </c>
      <c r="M69" s="15" t="s">
        <v>123</v>
      </c>
      <c r="N69" s="17" t="str">
        <f aca="false">IFERROR(_xlfn.XLOOKUP(M69,EmployeeTable[Employee ID],EmployeeTable[Employee Name],"Not found"),IFERROR(INDEX(EmployeeTable[Employee Name],MATCH(M69,EmployeeTable[Employee ID],0)),"Not found"))</f>
        <v>Ananya Rao</v>
      </c>
      <c r="O69" s="17" t="s">
        <v>318</v>
      </c>
      <c r="P69" s="30" t="n">
        <v>46309</v>
      </c>
      <c r="Q69" s="30" t="n">
        <v>46311</v>
      </c>
      <c r="R69" s="30"/>
      <c r="S69" s="15" t="s">
        <v>322</v>
      </c>
      <c r="T69" s="33" t="str">
        <f aca="true">IF(S69="Completed",IF(R69&lt;=Q69,"On Time","Delayed"),IF(Q69&lt;TODAY(),"Overdue","Pending"))</f>
        <v>Overdue</v>
      </c>
      <c r="U69" s="16" t="n">
        <f aca="false">IF(S69="Completed",IF(R69&lt;=Q69,1,0),0)</f>
        <v>0</v>
      </c>
    </row>
    <row r="70" customFormat="false" ht="15" hidden="false" customHeight="false" outlineLevel="0" collapsed="false">
      <c r="L70" s="12" t="s">
        <v>429</v>
      </c>
      <c r="M70" s="12" t="s">
        <v>107</v>
      </c>
      <c r="N70" s="14" t="str">
        <f aca="false">IFERROR(_xlfn.XLOOKUP(M70,EmployeeTable[Employee ID],EmployeeTable[Employee Name],"Not found"),IFERROR(INDEX(EmployeeTable[Employee Name],MATCH(M70,EmployeeTable[Employee ID],0)),"Not found"))</f>
        <v>Kabir Patel</v>
      </c>
      <c r="O70" s="14" t="s">
        <v>324</v>
      </c>
      <c r="P70" s="26" t="n">
        <v>46299</v>
      </c>
      <c r="Q70" s="26" t="n">
        <v>46302</v>
      </c>
      <c r="R70" s="26" t="n">
        <v>46304</v>
      </c>
      <c r="S70" s="12" t="s">
        <v>44</v>
      </c>
      <c r="T70" s="29" t="str">
        <f aca="true">IF(S70="Completed",IF(R70&lt;=Q70,"On Time","Delayed"),IF(Q70&lt;TODAY(),"Overdue","Pending"))</f>
        <v>Delayed</v>
      </c>
      <c r="U70" s="13" t="n">
        <f aca="false">IF(S70="Completed",IF(R70&lt;=Q70,1,0),0)</f>
        <v>0</v>
      </c>
    </row>
    <row r="71" customFormat="false" ht="15" hidden="false" customHeight="false" outlineLevel="0" collapsed="false">
      <c r="L71" s="15" t="s">
        <v>430</v>
      </c>
      <c r="M71" s="15" t="s">
        <v>145</v>
      </c>
      <c r="N71" s="17" t="str">
        <f aca="false">IFERROR(_xlfn.XLOOKUP(M71,EmployeeTable[Employee ID],EmployeeTable[Employee Name],"Not found"),IFERROR(INDEX(EmployeeTable[Employee Name],MATCH(M71,EmployeeTable[Employee ID],0)),"Not found"))</f>
        <v>Ira Nair</v>
      </c>
      <c r="O71" s="17" t="s">
        <v>298</v>
      </c>
      <c r="P71" s="30" t="n">
        <v>46290</v>
      </c>
      <c r="Q71" s="30" t="n">
        <v>46292</v>
      </c>
      <c r="R71" s="30" t="n">
        <v>46292</v>
      </c>
      <c r="S71" s="15" t="s">
        <v>44</v>
      </c>
      <c r="T71" s="33" t="str">
        <f aca="true">IF(S71="Completed",IF(R71&lt;=Q71,"On Time","Delayed"),IF(Q71&lt;TODAY(),"Overdue","Pending"))</f>
        <v>On Time</v>
      </c>
      <c r="U71" s="16" t="n">
        <f aca="false">IF(S71="Completed",IF(R71&lt;=Q71,1,0),0)</f>
        <v>1</v>
      </c>
    </row>
    <row r="72" customFormat="false" ht="15" hidden="false" customHeight="false" outlineLevel="0" collapsed="false">
      <c r="L72" s="12" t="s">
        <v>431</v>
      </c>
      <c r="M72" s="12" t="s">
        <v>129</v>
      </c>
      <c r="N72" s="14" t="str">
        <f aca="false">IFERROR(_xlfn.XLOOKUP(M72,EmployeeTable[Employee ID],EmployeeTable[Employee Name],"Not found"),IFERROR(INDEX(EmployeeTable[Employee Name],MATCH(M72,EmployeeTable[Employee ID],0)),"Not found"))</f>
        <v>Rohan Das</v>
      </c>
      <c r="O72" s="14" t="s">
        <v>303</v>
      </c>
      <c r="P72" s="26" t="n">
        <v>46303</v>
      </c>
      <c r="Q72" s="26" t="n">
        <v>46306</v>
      </c>
      <c r="R72" s="26" t="n">
        <v>46306</v>
      </c>
      <c r="S72" s="12" t="s">
        <v>44</v>
      </c>
      <c r="T72" s="29" t="str">
        <f aca="true">IF(S72="Completed",IF(R72&lt;=Q72,"On Time","Delayed"),IF(Q72&lt;TODAY(),"Overdue","Pending"))</f>
        <v>On Time</v>
      </c>
      <c r="U72" s="13" t="n">
        <f aca="false">IF(S72="Completed",IF(R72&lt;=Q72,1,0),0)</f>
        <v>1</v>
      </c>
    </row>
    <row r="73" customFormat="false" ht="15" hidden="false" customHeight="false" outlineLevel="0" collapsed="false">
      <c r="L73" s="15" t="s">
        <v>432</v>
      </c>
      <c r="M73" s="15" t="s">
        <v>112</v>
      </c>
      <c r="N73" s="17" t="str">
        <f aca="false">IFERROR(_xlfn.XLOOKUP(M73,EmployeeTable[Employee ID],EmployeeTable[Employee Name],"Not found"),IFERROR(INDEX(EmployeeTable[Employee Name],MATCH(M73,EmployeeTable[Employee ID],0)),"Not found"))</f>
        <v>Meera Singh</v>
      </c>
      <c r="O73" s="17" t="s">
        <v>308</v>
      </c>
      <c r="P73" s="30" t="n">
        <v>46293</v>
      </c>
      <c r="Q73" s="30" t="n">
        <v>46295</v>
      </c>
      <c r="R73" s="30"/>
      <c r="S73" s="15" t="s">
        <v>322</v>
      </c>
      <c r="T73" s="33" t="str">
        <f aca="true">IF(S73="Completed",IF(R73&lt;=Q73,"On Time","Delayed"),IF(Q73&lt;TODAY(),"Overdue","Pending"))</f>
        <v>Overdue</v>
      </c>
      <c r="U73" s="16" t="n">
        <f aca="false">IF(S73="Completed",IF(R73&lt;=Q73,1,0),0)</f>
        <v>0</v>
      </c>
    </row>
    <row r="74" customFormat="false" ht="15" hidden="false" customHeight="false" outlineLevel="0" collapsed="false">
      <c r="L74" s="12" t="s">
        <v>433</v>
      </c>
      <c r="M74" s="12" t="s">
        <v>95</v>
      </c>
      <c r="N74" s="14" t="str">
        <f aca="false">IFERROR(_xlfn.XLOOKUP(M74,EmployeeTable[Employee ID],EmployeeTable[Employee Name],"Not found"),IFERROR(INDEX(EmployeeTable[Employee Name],MATCH(M74,EmployeeTable[Employee ID],0)),"Not found"))</f>
        <v>Aarav Sharma</v>
      </c>
      <c r="O74" s="14" t="s">
        <v>313</v>
      </c>
      <c r="P74" s="26" t="n">
        <v>46270</v>
      </c>
      <c r="Q74" s="26" t="n">
        <v>46272</v>
      </c>
      <c r="R74" s="26" t="n">
        <v>46273</v>
      </c>
      <c r="S74" s="12" t="s">
        <v>44</v>
      </c>
      <c r="T74" s="29" t="str">
        <f aca="true">IF(S74="Completed",IF(R74&lt;=Q74,"On Time","Delayed"),IF(Q74&lt;TODAY(),"Overdue","Pending"))</f>
        <v>Delayed</v>
      </c>
      <c r="U74" s="13" t="n">
        <f aca="false">IF(S74="Completed",IF(R74&lt;=Q74,1,0),0)</f>
        <v>0</v>
      </c>
    </row>
  </sheetData>
  <mergeCells count="5">
    <mergeCell ref="A1:X1"/>
    <mergeCell ref="A2:X2"/>
    <mergeCell ref="A3:J3"/>
    <mergeCell ref="L3:U3"/>
    <mergeCell ref="W3:X3"/>
  </mergeCells>
  <conditionalFormatting sqref="T5:T500">
    <cfRule type="expression" priority="2" aboveAverage="0" equalAverage="0" bottom="0" percent="0" rank="0" text="" dxfId="9">
      <formula>$T5="Overdue"</formula>
    </cfRule>
    <cfRule type="expression" priority="3" aboveAverage="0" equalAverage="0" bottom="0" percent="0" rank="0" text="" dxfId="1">
      <formula>$T5="On Time"</formula>
    </cfRule>
    <cfRule type="expression" priority="4" aboveAverage="0" equalAverage="0" bottom="0" percent="0" rank="0" text="" dxfId="0">
      <formula>$T5="Delayed"</formula>
    </cfRule>
    <cfRule type="expression" priority="5" aboveAverage="0" equalAverage="0" bottom="0" percent="0" rank="0" text="" dxfId="11">
      <formula>$T5="Pending"</formula>
    </cfRule>
  </conditionalFormatting>
  <conditionalFormatting sqref="J5:J500">
    <cfRule type="expression" priority="6" aboveAverage="0" equalAverage="0" bottom="0" percent="0" rank="0" text="" dxfId="0">
      <formula>$J5="Delayed"</formula>
    </cfRule>
    <cfRule type="expression" priority="7" aboveAverage="0" equalAverage="0" bottom="0" percent="0" rank="0" text="" dxfId="1">
      <formula>$J5="Within SLA"</formula>
    </cfRule>
  </conditionalFormatting>
  <dataValidations count="4">
    <dataValidation allowBlank="false" errorStyle="stop" operator="between" showDropDown="false" showErrorMessage="false" showInputMessage="false" sqref="H5:H500" type="list">
      <formula1>'Lists &amp; Settings'!$E$5:$E$8</formula1>
      <formula2>0</formula2>
    </dataValidation>
    <dataValidation allowBlank="false" errorStyle="stop" operator="between" showDropDown="false" showErrorMessage="false" showInputMessage="false" sqref="S5:S500" type="list">
      <formula1>'Lists &amp; Settings'!$C$5:$C$7</formula1>
      <formula2>0</formula2>
    </dataValidation>
    <dataValidation allowBlank="false" errorStyle="stop" operator="between" showDropDown="false" showErrorMessage="false" showInputMessage="false" sqref="C5:C500 M5:M500" type="list">
      <formula1>'Employee Master'!$A$4:$A$13</formula1>
      <formula2>0</formula2>
    </dataValidation>
    <dataValidation allowBlank="false" errorStyle="stop" operator="between" showDropDown="false" showErrorMessage="false" showInputMessage="false" sqref="E5:E500" type="list">
      <formula1>'Lists &amp; Settings'!$G$5:$G$10</formula1>
      <formula2>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tru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3" topLeftCell="A4" activePane="bottomLef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9"/>
  </cols>
  <sheetData>
    <row r="1" customFormat="false" ht="27.7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435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0" t="s">
        <v>10</v>
      </c>
      <c r="C4" s="10" t="s">
        <v>291</v>
      </c>
      <c r="E4" s="10" t="s">
        <v>436</v>
      </c>
      <c r="G4" s="10" t="s">
        <v>437</v>
      </c>
      <c r="I4" s="10" t="s">
        <v>438</v>
      </c>
      <c r="K4" s="10" t="s">
        <v>439</v>
      </c>
      <c r="M4" s="10" t="s">
        <v>230</v>
      </c>
    </row>
    <row r="5" customFormat="false" ht="15" hidden="false" customHeight="false" outlineLevel="0" collapsed="false">
      <c r="A5" s="12" t="s">
        <v>17</v>
      </c>
      <c r="C5" s="12" t="s">
        <v>44</v>
      </c>
      <c r="E5" s="12" t="s">
        <v>44</v>
      </c>
      <c r="G5" s="12" t="s">
        <v>296</v>
      </c>
      <c r="I5" s="12" t="s">
        <v>232</v>
      </c>
      <c r="K5" s="12" t="s">
        <v>18</v>
      </c>
      <c r="M5" s="12" t="s">
        <v>234</v>
      </c>
    </row>
    <row r="6" customFormat="false" ht="15" hidden="false" customHeight="false" outlineLevel="0" collapsed="false">
      <c r="A6" s="15" t="s">
        <v>21</v>
      </c>
      <c r="C6" s="15" t="s">
        <v>21</v>
      </c>
      <c r="E6" s="15" t="s">
        <v>21</v>
      </c>
      <c r="G6" s="15" t="s">
        <v>301</v>
      </c>
      <c r="I6" s="15" t="s">
        <v>236</v>
      </c>
      <c r="K6" s="15" t="s">
        <v>22</v>
      </c>
      <c r="M6" s="15" t="s">
        <v>440</v>
      </c>
    </row>
    <row r="7" customFormat="false" ht="15" hidden="false" customHeight="false" outlineLevel="0" collapsed="false">
      <c r="A7" s="12" t="s">
        <v>25</v>
      </c>
      <c r="C7" s="12" t="s">
        <v>322</v>
      </c>
      <c r="E7" s="12" t="s">
        <v>322</v>
      </c>
      <c r="G7" s="12" t="s">
        <v>306</v>
      </c>
      <c r="I7" s="12" t="s">
        <v>239</v>
      </c>
      <c r="M7" s="12" t="s">
        <v>441</v>
      </c>
    </row>
    <row r="8" customFormat="false" ht="15" hidden="false" customHeight="false" outlineLevel="0" collapsed="false">
      <c r="A8" s="15" t="s">
        <v>29</v>
      </c>
      <c r="E8" s="15" t="s">
        <v>29</v>
      </c>
      <c r="G8" s="15" t="s">
        <v>311</v>
      </c>
      <c r="I8" s="15" t="s">
        <v>242</v>
      </c>
    </row>
    <row r="9" customFormat="false" ht="15" hidden="false" customHeight="false" outlineLevel="0" collapsed="false">
      <c r="A9" s="12" t="s">
        <v>31</v>
      </c>
      <c r="G9" s="12" t="s">
        <v>316</v>
      </c>
    </row>
    <row r="10" customFormat="false" ht="15" hidden="false" customHeight="false" outlineLevel="0" collapsed="false">
      <c r="G10" s="15" t="s">
        <v>321</v>
      </c>
    </row>
    <row r="13" customFormat="false" ht="15" hidden="false" customHeight="false" outlineLevel="0" collapsed="false">
      <c r="A13" s="10" t="s">
        <v>442</v>
      </c>
      <c r="B13" s="10" t="s">
        <v>443</v>
      </c>
    </row>
    <row r="14" customFormat="false" ht="15" hidden="false" customHeight="false" outlineLevel="0" collapsed="false">
      <c r="A14" s="42" t="s">
        <v>444</v>
      </c>
      <c r="B14" s="62" t="n">
        <v>46314</v>
      </c>
    </row>
    <row r="15" customFormat="false" ht="15" hidden="false" customHeight="false" outlineLevel="0" collapsed="false">
      <c r="A15" s="58" t="s">
        <v>445</v>
      </c>
      <c r="B15" s="12" t="s">
        <v>446</v>
      </c>
    </row>
    <row r="16" customFormat="false" ht="15" hidden="false" customHeight="false" outlineLevel="0" collapsed="false">
      <c r="A16" s="42" t="s">
        <v>447</v>
      </c>
      <c r="B16" s="15" t="s">
        <v>448</v>
      </c>
    </row>
    <row r="18" customFormat="false" ht="15" hidden="false" customHeight="false" outlineLevel="0" collapsed="false">
      <c r="A18" s="63" t="s">
        <v>449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customFormat="false" ht="15" hidden="false" customHeight="false" outlineLevel="0" collapsed="false">
      <c r="A19" s="17" t="s">
        <v>450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</sheetData>
  <mergeCells count="4">
    <mergeCell ref="A1:M1"/>
    <mergeCell ref="A2:M2"/>
    <mergeCell ref="A18:M18"/>
    <mergeCell ref="A19:M19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2026-10-19T12:06:33Z</dcterms:created>
  <dc:creator>openpyxl</dc:creator>
  <dc:description/>
  <dc:language>en-US</dc:language>
  <cp:lastModifiedBy/>
  <dcterms:modified xsi:type="dcterms:W3CDTF">2026-10-19T12:45:22Z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